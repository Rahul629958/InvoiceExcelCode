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OneDrive\Documents\"/>
    </mc:Choice>
  </mc:AlternateContent>
  <xr:revisionPtr revIDLastSave="0" documentId="13_ncr:1_{F4EF2A38-6E08-4DA0-A7D0-D41329198B2A}" xr6:coauthVersionLast="47" xr6:coauthVersionMax="47" xr10:uidLastSave="{00000000-0000-0000-0000-000000000000}"/>
  <bookViews>
    <workbookView xWindow="-108" yWindow="-108" windowWidth="23256" windowHeight="12456" xr2:uid="{8E52EDF6-41D4-4027-B039-91CFB92086F6}"/>
  </bookViews>
  <sheets>
    <sheet name="Invoice" sheetId="1" r:id="rId1"/>
    <sheet name="CustomerDetails" sheetId="2" r:id="rId2"/>
    <sheet name="InvoiceItems" sheetId="3" r:id="rId3"/>
    <sheet name="ListSheet" sheetId="4" r:id="rId4"/>
  </sheets>
  <functionGroups builtInGroupCount="19"/>
  <definedNames>
    <definedName name="_xlnm._FilterDatabase" localSheetId="2" hidden="1">InvoiceItems!$A$1:$M$4</definedName>
    <definedName name="_xlnm.Criteria" localSheetId="2">InvoiceItems!$Y$2:$Y$3</definedName>
    <definedName name="CustomerName">OFFSET(CustomerDetails!$C$1,1,,COUNTA(CustomerDetails!$C$1:$C$1:'CustomerDetails'!$A$999)-1,1)</definedName>
    <definedName name="_xlnm.Extract" localSheetId="2">InvoiceItems!$Z$1:$AL$1</definedName>
    <definedName name="InvoiceNumber">OFFSET(CustomerDetails!$A$1,1,,COUNTA(CustomerDetails!$A$1:$A$999)-1,1)</definedName>
    <definedName name="Payment_Option">OFFSET(ListSheet!$B$3,1,,COUNTA(ListSheet!$B$3+ListSheet!$B$3:$B$20)-1,1)</definedName>
    <definedName name="_xlnm.Print_Area" localSheetId="0">Invoice!$D$1:$M$38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3" l="1"/>
  <c r="D15" i="1"/>
  <c r="D16" i="1"/>
  <c r="D17" i="1"/>
  <c r="L3" i="3"/>
  <c r="L2" i="3"/>
  <c r="Q484" i="1"/>
  <c r="R484" i="1"/>
  <c r="S484" i="1"/>
  <c r="Q485" i="1"/>
  <c r="R485" i="1"/>
  <c r="S485" i="1"/>
  <c r="Q486" i="1"/>
  <c r="R486" i="1"/>
  <c r="S486" i="1"/>
  <c r="Q487" i="1"/>
  <c r="R487" i="1"/>
  <c r="S487" i="1"/>
  <c r="Q488" i="1"/>
  <c r="R488" i="1"/>
  <c r="S488" i="1"/>
  <c r="Q489" i="1"/>
  <c r="R489" i="1"/>
  <c r="S489" i="1"/>
  <c r="Q490" i="1"/>
  <c r="R490" i="1"/>
  <c r="S490" i="1"/>
  <c r="Q491" i="1"/>
  <c r="R491" i="1"/>
  <c r="S491" i="1"/>
  <c r="Q492" i="1"/>
  <c r="R492" i="1"/>
  <c r="S492" i="1"/>
  <c r="Q493" i="1"/>
  <c r="R493" i="1"/>
  <c r="S493" i="1"/>
  <c r="Q494" i="1"/>
  <c r="R494" i="1"/>
  <c r="S494" i="1"/>
  <c r="Q495" i="1"/>
  <c r="R495" i="1"/>
  <c r="S495" i="1"/>
  <c r="Q496" i="1"/>
  <c r="R496" i="1"/>
  <c r="S496" i="1"/>
  <c r="Q497" i="1"/>
  <c r="R497" i="1"/>
  <c r="S497" i="1"/>
  <c r="Q498" i="1"/>
  <c r="R498" i="1"/>
  <c r="S498" i="1"/>
  <c r="Q499" i="1"/>
  <c r="R499" i="1"/>
  <c r="S499" i="1"/>
  <c r="Q500" i="1"/>
  <c r="R500" i="1"/>
  <c r="S500" i="1"/>
  <c r="Q501" i="1"/>
  <c r="R501" i="1"/>
  <c r="S501" i="1"/>
  <c r="Q502" i="1"/>
  <c r="R502" i="1"/>
  <c r="S502" i="1"/>
  <c r="Q503" i="1"/>
  <c r="R503" i="1"/>
  <c r="S503" i="1"/>
  <c r="Q504" i="1"/>
  <c r="R504" i="1"/>
  <c r="S504" i="1"/>
  <c r="Q505" i="1"/>
  <c r="R505" i="1"/>
  <c r="S505" i="1"/>
  <c r="Q506" i="1"/>
  <c r="R506" i="1"/>
  <c r="S506" i="1"/>
  <c r="Q507" i="1"/>
  <c r="R507" i="1"/>
  <c r="S507" i="1"/>
  <c r="Q508" i="1"/>
  <c r="R508" i="1"/>
  <c r="S508" i="1"/>
  <c r="Q509" i="1"/>
  <c r="R509" i="1"/>
  <c r="S509" i="1"/>
  <c r="Q510" i="1"/>
  <c r="R510" i="1"/>
  <c r="S510" i="1"/>
  <c r="Q511" i="1"/>
  <c r="R511" i="1"/>
  <c r="S511" i="1"/>
  <c r="Q512" i="1"/>
  <c r="R512" i="1"/>
  <c r="S512" i="1"/>
  <c r="Q513" i="1"/>
  <c r="R513" i="1"/>
  <c r="S513" i="1"/>
  <c r="Q514" i="1"/>
  <c r="R514" i="1"/>
  <c r="S514" i="1"/>
  <c r="Q515" i="1"/>
  <c r="R515" i="1"/>
  <c r="S515" i="1"/>
  <c r="Q516" i="1"/>
  <c r="R516" i="1"/>
  <c r="S516" i="1"/>
  <c r="Q517" i="1"/>
  <c r="R517" i="1"/>
  <c r="S517" i="1"/>
  <c r="Q518" i="1"/>
  <c r="R518" i="1"/>
  <c r="S518" i="1"/>
  <c r="Q519" i="1"/>
  <c r="R519" i="1"/>
  <c r="S519" i="1"/>
  <c r="Q520" i="1"/>
  <c r="R520" i="1"/>
  <c r="S520" i="1"/>
  <c r="Q521" i="1"/>
  <c r="R521" i="1"/>
  <c r="S521" i="1"/>
  <c r="Q522" i="1"/>
  <c r="R522" i="1"/>
  <c r="S522" i="1"/>
  <c r="Q523" i="1"/>
  <c r="R523" i="1"/>
  <c r="S523" i="1"/>
  <c r="Q524" i="1"/>
  <c r="R524" i="1"/>
  <c r="S524" i="1"/>
  <c r="Q525" i="1"/>
  <c r="R525" i="1"/>
  <c r="S525" i="1"/>
  <c r="Q526" i="1"/>
  <c r="R526" i="1"/>
  <c r="S526" i="1"/>
  <c r="Q527" i="1"/>
  <c r="R527" i="1"/>
  <c r="S527" i="1"/>
  <c r="Q528" i="1"/>
  <c r="R528" i="1"/>
  <c r="S528" i="1"/>
  <c r="Q529" i="1"/>
  <c r="R529" i="1"/>
  <c r="S529" i="1"/>
  <c r="Q530" i="1"/>
  <c r="R530" i="1"/>
  <c r="S530" i="1"/>
  <c r="Q531" i="1"/>
  <c r="R531" i="1"/>
  <c r="S531" i="1"/>
  <c r="Q532" i="1"/>
  <c r="R532" i="1"/>
  <c r="S532" i="1"/>
  <c r="Q533" i="1"/>
  <c r="R533" i="1"/>
  <c r="S533" i="1"/>
  <c r="Q534" i="1"/>
  <c r="R534" i="1"/>
  <c r="S534" i="1"/>
  <c r="Q535" i="1"/>
  <c r="R535" i="1"/>
  <c r="S535" i="1"/>
  <c r="Q536" i="1"/>
  <c r="R536" i="1"/>
  <c r="S536" i="1"/>
  <c r="Q537" i="1"/>
  <c r="R537" i="1"/>
  <c r="S537" i="1"/>
  <c r="Q538" i="1"/>
  <c r="R538" i="1"/>
  <c r="S538" i="1"/>
  <c r="Q539" i="1"/>
  <c r="R539" i="1"/>
  <c r="S539" i="1"/>
  <c r="Q540" i="1"/>
  <c r="R540" i="1"/>
  <c r="S540" i="1"/>
  <c r="Q541" i="1"/>
  <c r="R541" i="1"/>
  <c r="S541" i="1"/>
  <c r="Q542" i="1"/>
  <c r="R542" i="1"/>
  <c r="S542" i="1"/>
  <c r="Q543" i="1"/>
  <c r="R543" i="1"/>
  <c r="S543" i="1"/>
  <c r="Q544" i="1"/>
  <c r="R544" i="1"/>
  <c r="S544" i="1"/>
  <c r="Q545" i="1"/>
  <c r="R545" i="1"/>
  <c r="S545" i="1"/>
  <c r="Q546" i="1"/>
  <c r="R546" i="1"/>
  <c r="S546" i="1"/>
  <c r="Q547" i="1"/>
  <c r="R547" i="1"/>
  <c r="S547" i="1"/>
  <c r="Q548" i="1"/>
  <c r="R548" i="1"/>
  <c r="S548" i="1"/>
  <c r="Q549" i="1"/>
  <c r="R549" i="1"/>
  <c r="S549" i="1"/>
  <c r="Q550" i="1"/>
  <c r="R550" i="1"/>
  <c r="S550" i="1"/>
  <c r="Q551" i="1"/>
  <c r="R551" i="1"/>
  <c r="S551" i="1"/>
  <c r="Q552" i="1"/>
  <c r="R552" i="1"/>
  <c r="S552" i="1"/>
  <c r="Q553" i="1"/>
  <c r="R553" i="1"/>
  <c r="S553" i="1"/>
  <c r="Q554" i="1"/>
  <c r="R554" i="1"/>
  <c r="S554" i="1"/>
  <c r="Q555" i="1"/>
  <c r="R555" i="1"/>
  <c r="S555" i="1"/>
  <c r="Q556" i="1"/>
  <c r="R556" i="1"/>
  <c r="S556" i="1"/>
  <c r="Q557" i="1"/>
  <c r="R557" i="1"/>
  <c r="S557" i="1"/>
  <c r="Q558" i="1"/>
  <c r="R558" i="1"/>
  <c r="S558" i="1"/>
  <c r="Q559" i="1"/>
  <c r="R559" i="1"/>
  <c r="S559" i="1"/>
  <c r="Q560" i="1"/>
  <c r="R560" i="1"/>
  <c r="S560" i="1"/>
  <c r="Q561" i="1"/>
  <c r="R561" i="1"/>
  <c r="S561" i="1"/>
  <c r="Q562" i="1"/>
  <c r="R562" i="1"/>
  <c r="S562" i="1"/>
  <c r="Q563" i="1"/>
  <c r="R563" i="1"/>
  <c r="S563" i="1"/>
  <c r="Q564" i="1"/>
  <c r="R564" i="1"/>
  <c r="S564" i="1"/>
  <c r="Q565" i="1"/>
  <c r="R565" i="1"/>
  <c r="S565" i="1"/>
  <c r="Q566" i="1"/>
  <c r="R566" i="1"/>
  <c r="S566" i="1"/>
  <c r="Q567" i="1"/>
  <c r="R567" i="1"/>
  <c r="S567" i="1"/>
  <c r="Q568" i="1"/>
  <c r="R568" i="1"/>
  <c r="S568" i="1"/>
  <c r="Q569" i="1"/>
  <c r="R569" i="1"/>
  <c r="S569" i="1"/>
  <c r="Q570" i="1"/>
  <c r="R570" i="1"/>
  <c r="S570" i="1"/>
  <c r="Q571" i="1"/>
  <c r="R571" i="1"/>
  <c r="S571" i="1"/>
  <c r="Q572" i="1"/>
  <c r="R572" i="1"/>
  <c r="S572" i="1"/>
  <c r="Q573" i="1"/>
  <c r="R573" i="1"/>
  <c r="S573" i="1"/>
  <c r="Q574" i="1"/>
  <c r="R574" i="1"/>
  <c r="S574" i="1"/>
  <c r="Q575" i="1"/>
  <c r="R575" i="1"/>
  <c r="S575" i="1"/>
  <c r="Q576" i="1"/>
  <c r="R576" i="1"/>
  <c r="S576" i="1"/>
  <c r="Q577" i="1"/>
  <c r="R577" i="1"/>
  <c r="S577" i="1"/>
  <c r="Q578" i="1"/>
  <c r="R578" i="1"/>
  <c r="S578" i="1"/>
  <c r="Q579" i="1"/>
  <c r="R579" i="1"/>
  <c r="S579" i="1"/>
  <c r="Q580" i="1"/>
  <c r="R580" i="1"/>
  <c r="S580" i="1"/>
  <c r="Q581" i="1"/>
  <c r="R581" i="1"/>
  <c r="S581" i="1"/>
  <c r="Q582" i="1"/>
  <c r="R582" i="1"/>
  <c r="S582" i="1"/>
  <c r="Q583" i="1"/>
  <c r="R583" i="1"/>
  <c r="S583" i="1"/>
  <c r="Q584" i="1"/>
  <c r="R584" i="1"/>
  <c r="S584" i="1"/>
  <c r="Q585" i="1"/>
  <c r="R585" i="1"/>
  <c r="S585" i="1"/>
  <c r="Q586" i="1"/>
  <c r="R586" i="1"/>
  <c r="S586" i="1"/>
  <c r="Q587" i="1"/>
  <c r="R587" i="1"/>
  <c r="S587" i="1"/>
  <c r="Q588" i="1"/>
  <c r="R588" i="1"/>
  <c r="S588" i="1"/>
  <c r="Q589" i="1"/>
  <c r="R589" i="1"/>
  <c r="S589" i="1"/>
  <c r="Q590" i="1"/>
  <c r="R590" i="1"/>
  <c r="S590" i="1"/>
  <c r="Q591" i="1"/>
  <c r="R591" i="1"/>
  <c r="S591" i="1"/>
  <c r="Q592" i="1"/>
  <c r="R592" i="1"/>
  <c r="S592" i="1"/>
  <c r="Q593" i="1"/>
  <c r="R593" i="1"/>
  <c r="S593" i="1"/>
  <c r="Q594" i="1"/>
  <c r="R594" i="1"/>
  <c r="S594" i="1"/>
  <c r="Q595" i="1"/>
  <c r="R595" i="1"/>
  <c r="S595" i="1"/>
  <c r="Q596" i="1"/>
  <c r="R596" i="1"/>
  <c r="S596" i="1"/>
  <c r="Q597" i="1"/>
  <c r="R597" i="1"/>
  <c r="S597" i="1"/>
  <c r="Q598" i="1"/>
  <c r="R598" i="1"/>
  <c r="S598" i="1"/>
  <c r="Q599" i="1"/>
  <c r="R599" i="1"/>
  <c r="S599" i="1"/>
  <c r="Q600" i="1"/>
  <c r="R600" i="1"/>
  <c r="S600" i="1"/>
  <c r="Q601" i="1"/>
  <c r="R601" i="1"/>
  <c r="S601" i="1"/>
  <c r="Q602" i="1"/>
  <c r="R602" i="1"/>
  <c r="S602" i="1"/>
  <c r="Q603" i="1"/>
  <c r="R603" i="1"/>
  <c r="S603" i="1"/>
  <c r="Q604" i="1"/>
  <c r="R604" i="1"/>
  <c r="S604" i="1"/>
  <c r="Q605" i="1"/>
  <c r="R605" i="1"/>
  <c r="S605" i="1"/>
  <c r="Q606" i="1"/>
  <c r="R606" i="1"/>
  <c r="S606" i="1"/>
  <c r="Q607" i="1"/>
  <c r="R607" i="1"/>
  <c r="S607" i="1"/>
  <c r="Q608" i="1"/>
  <c r="R608" i="1"/>
  <c r="S608" i="1"/>
  <c r="Q609" i="1"/>
  <c r="R609" i="1"/>
  <c r="S609" i="1"/>
  <c r="Q610" i="1"/>
  <c r="R610" i="1"/>
  <c r="S610" i="1"/>
  <c r="Q611" i="1"/>
  <c r="R611" i="1"/>
  <c r="S611" i="1"/>
  <c r="Q612" i="1"/>
  <c r="R612" i="1"/>
  <c r="S612" i="1"/>
  <c r="Q613" i="1"/>
  <c r="R613" i="1"/>
  <c r="S613" i="1"/>
  <c r="Q614" i="1"/>
  <c r="R614" i="1"/>
  <c r="S614" i="1"/>
  <c r="Q615" i="1"/>
  <c r="R615" i="1"/>
  <c r="S615" i="1"/>
  <c r="Q616" i="1"/>
  <c r="R616" i="1"/>
  <c r="S616" i="1"/>
  <c r="Q617" i="1"/>
  <c r="R617" i="1"/>
  <c r="S617" i="1"/>
  <c r="Q618" i="1"/>
  <c r="R618" i="1"/>
  <c r="S618" i="1"/>
  <c r="Q619" i="1"/>
  <c r="R619" i="1"/>
  <c r="S619" i="1"/>
  <c r="Q620" i="1"/>
  <c r="R620" i="1"/>
  <c r="S620" i="1"/>
  <c r="Q621" i="1"/>
  <c r="R621" i="1"/>
  <c r="S621" i="1"/>
  <c r="Q622" i="1"/>
  <c r="R622" i="1"/>
  <c r="S622" i="1"/>
  <c r="Q623" i="1"/>
  <c r="R623" i="1"/>
  <c r="S623" i="1"/>
  <c r="Q624" i="1"/>
  <c r="R624" i="1"/>
  <c r="S624" i="1"/>
  <c r="Q625" i="1"/>
  <c r="R625" i="1"/>
  <c r="S625" i="1"/>
  <c r="Q626" i="1"/>
  <c r="R626" i="1"/>
  <c r="S626" i="1"/>
  <c r="Q627" i="1"/>
  <c r="R627" i="1"/>
  <c r="S627" i="1"/>
  <c r="Q628" i="1"/>
  <c r="R628" i="1"/>
  <c r="S628" i="1"/>
  <c r="Q629" i="1"/>
  <c r="R629" i="1"/>
  <c r="S629" i="1"/>
  <c r="Q630" i="1"/>
  <c r="R630" i="1"/>
  <c r="S630" i="1"/>
  <c r="Q631" i="1"/>
  <c r="R631" i="1"/>
  <c r="S631" i="1"/>
  <c r="Q632" i="1"/>
  <c r="R632" i="1"/>
  <c r="S632" i="1"/>
  <c r="Q633" i="1"/>
  <c r="R633" i="1"/>
  <c r="S633" i="1"/>
  <c r="Q634" i="1"/>
  <c r="R634" i="1"/>
  <c r="S634" i="1"/>
  <c r="Q635" i="1"/>
  <c r="R635" i="1"/>
  <c r="S635" i="1"/>
  <c r="Q636" i="1"/>
  <c r="R636" i="1"/>
  <c r="S636" i="1"/>
  <c r="Q637" i="1"/>
  <c r="R637" i="1"/>
  <c r="S637" i="1"/>
  <c r="Q638" i="1"/>
  <c r="R638" i="1"/>
  <c r="S638" i="1"/>
  <c r="Q639" i="1"/>
  <c r="R639" i="1"/>
  <c r="S639" i="1"/>
  <c r="Q640" i="1"/>
  <c r="R640" i="1"/>
  <c r="S640" i="1"/>
  <c r="Q641" i="1"/>
  <c r="R641" i="1"/>
  <c r="S641" i="1"/>
  <c r="Q642" i="1"/>
  <c r="R642" i="1"/>
  <c r="S642" i="1"/>
  <c r="Q643" i="1"/>
  <c r="R643" i="1"/>
  <c r="S643" i="1"/>
  <c r="Q644" i="1"/>
  <c r="R644" i="1"/>
  <c r="S644" i="1"/>
  <c r="Q645" i="1"/>
  <c r="R645" i="1"/>
  <c r="S645" i="1"/>
  <c r="Q646" i="1"/>
  <c r="R646" i="1"/>
  <c r="S646" i="1"/>
  <c r="Q647" i="1"/>
  <c r="R647" i="1"/>
  <c r="S647" i="1"/>
  <c r="Q648" i="1"/>
  <c r="R648" i="1"/>
  <c r="S648" i="1"/>
  <c r="Q649" i="1"/>
  <c r="R649" i="1"/>
  <c r="S649" i="1"/>
  <c r="Q650" i="1"/>
  <c r="R650" i="1"/>
  <c r="S650" i="1"/>
  <c r="Q651" i="1"/>
  <c r="R651" i="1"/>
  <c r="S651" i="1"/>
  <c r="Q652" i="1"/>
  <c r="R652" i="1"/>
  <c r="S652" i="1"/>
  <c r="Q653" i="1"/>
  <c r="R653" i="1"/>
  <c r="S653" i="1"/>
  <c r="Q654" i="1"/>
  <c r="R654" i="1"/>
  <c r="S654" i="1"/>
  <c r="Q655" i="1"/>
  <c r="R655" i="1"/>
  <c r="S655" i="1"/>
  <c r="Q656" i="1"/>
  <c r="R656" i="1"/>
  <c r="S656" i="1"/>
  <c r="Q657" i="1"/>
  <c r="R657" i="1"/>
  <c r="S657" i="1"/>
  <c r="Q658" i="1"/>
  <c r="R658" i="1"/>
  <c r="S658" i="1"/>
  <c r="Q659" i="1"/>
  <c r="R659" i="1"/>
  <c r="S659" i="1"/>
  <c r="Q660" i="1"/>
  <c r="R660" i="1"/>
  <c r="S660" i="1"/>
  <c r="Q661" i="1"/>
  <c r="R661" i="1"/>
  <c r="S661" i="1"/>
  <c r="Q662" i="1"/>
  <c r="R662" i="1"/>
  <c r="S662" i="1"/>
  <c r="Q663" i="1"/>
  <c r="R663" i="1"/>
  <c r="S663" i="1"/>
  <c r="Q664" i="1"/>
  <c r="R664" i="1"/>
  <c r="S664" i="1"/>
  <c r="Q665" i="1"/>
  <c r="R665" i="1"/>
  <c r="S665" i="1"/>
  <c r="Q666" i="1"/>
  <c r="R666" i="1"/>
  <c r="S666" i="1"/>
  <c r="Q667" i="1"/>
  <c r="R667" i="1"/>
  <c r="S667" i="1"/>
  <c r="Q668" i="1"/>
  <c r="R668" i="1"/>
  <c r="S668" i="1"/>
  <c r="Q669" i="1"/>
  <c r="R669" i="1"/>
  <c r="S669" i="1"/>
  <c r="Q670" i="1"/>
  <c r="R670" i="1"/>
  <c r="S670" i="1"/>
  <c r="Q671" i="1"/>
  <c r="R671" i="1"/>
  <c r="S671" i="1"/>
  <c r="Q672" i="1"/>
  <c r="R672" i="1"/>
  <c r="S672" i="1"/>
  <c r="Q673" i="1"/>
  <c r="R673" i="1"/>
  <c r="S673" i="1"/>
  <c r="Q674" i="1"/>
  <c r="R674" i="1"/>
  <c r="S674" i="1"/>
  <c r="Q675" i="1"/>
  <c r="R675" i="1"/>
  <c r="S675" i="1"/>
  <c r="Q676" i="1"/>
  <c r="R676" i="1"/>
  <c r="S676" i="1"/>
  <c r="Q677" i="1"/>
  <c r="R677" i="1"/>
  <c r="S677" i="1"/>
  <c r="Q678" i="1"/>
  <c r="R678" i="1"/>
  <c r="S678" i="1"/>
  <c r="Q679" i="1"/>
  <c r="R679" i="1"/>
  <c r="S679" i="1"/>
  <c r="Q680" i="1"/>
  <c r="R680" i="1"/>
  <c r="S680" i="1"/>
  <c r="Q681" i="1"/>
  <c r="R681" i="1"/>
  <c r="S681" i="1"/>
  <c r="Q682" i="1"/>
  <c r="R682" i="1"/>
  <c r="S682" i="1"/>
  <c r="Q683" i="1"/>
  <c r="R683" i="1"/>
  <c r="S683" i="1"/>
  <c r="Q684" i="1"/>
  <c r="R684" i="1"/>
  <c r="S684" i="1"/>
  <c r="Q685" i="1"/>
  <c r="R685" i="1"/>
  <c r="S685" i="1"/>
  <c r="Q686" i="1"/>
  <c r="R686" i="1"/>
  <c r="S686" i="1"/>
  <c r="Q687" i="1"/>
  <c r="R687" i="1"/>
  <c r="S687" i="1"/>
  <c r="Q688" i="1"/>
  <c r="R688" i="1"/>
  <c r="S688" i="1"/>
  <c r="Q689" i="1"/>
  <c r="R689" i="1"/>
  <c r="S689" i="1"/>
  <c r="Q690" i="1"/>
  <c r="R690" i="1"/>
  <c r="S690" i="1"/>
  <c r="Q691" i="1"/>
  <c r="R691" i="1"/>
  <c r="S691" i="1"/>
  <c r="Q692" i="1"/>
  <c r="R692" i="1"/>
  <c r="S692" i="1"/>
  <c r="Q693" i="1"/>
  <c r="R693" i="1"/>
  <c r="S693" i="1"/>
  <c r="Q694" i="1"/>
  <c r="R694" i="1"/>
  <c r="S694" i="1"/>
  <c r="Q695" i="1"/>
  <c r="R695" i="1"/>
  <c r="S695" i="1"/>
  <c r="Q696" i="1"/>
  <c r="R696" i="1"/>
  <c r="S696" i="1"/>
  <c r="Q697" i="1"/>
  <c r="R697" i="1"/>
  <c r="S697" i="1"/>
  <c r="Q698" i="1"/>
  <c r="R698" i="1"/>
  <c r="S698" i="1"/>
  <c r="Q699" i="1"/>
  <c r="R699" i="1"/>
  <c r="S699" i="1"/>
  <c r="Q700" i="1"/>
  <c r="R700" i="1"/>
  <c r="S700" i="1"/>
  <c r="Q701" i="1"/>
  <c r="R701" i="1"/>
  <c r="S701" i="1"/>
  <c r="Q702" i="1"/>
  <c r="R702" i="1"/>
  <c r="S702" i="1"/>
  <c r="Q703" i="1"/>
  <c r="R703" i="1"/>
  <c r="S703" i="1"/>
  <c r="Q704" i="1"/>
  <c r="R704" i="1"/>
  <c r="S704" i="1"/>
  <c r="Q705" i="1"/>
  <c r="R705" i="1"/>
  <c r="S705" i="1"/>
  <c r="Q706" i="1"/>
  <c r="R706" i="1"/>
  <c r="S706" i="1"/>
  <c r="Q707" i="1"/>
  <c r="R707" i="1"/>
  <c r="S707" i="1"/>
  <c r="Q708" i="1"/>
  <c r="R708" i="1"/>
  <c r="S708" i="1"/>
  <c r="Q709" i="1"/>
  <c r="R709" i="1"/>
  <c r="S709" i="1"/>
  <c r="Q710" i="1"/>
  <c r="R710" i="1"/>
  <c r="S710" i="1"/>
  <c r="Q711" i="1"/>
  <c r="R711" i="1"/>
  <c r="S711" i="1"/>
  <c r="Q712" i="1"/>
  <c r="R712" i="1"/>
  <c r="S712" i="1"/>
  <c r="Q713" i="1"/>
  <c r="R713" i="1"/>
  <c r="S713" i="1"/>
  <c r="Q714" i="1"/>
  <c r="R714" i="1"/>
  <c r="S714" i="1"/>
  <c r="Q715" i="1"/>
  <c r="R715" i="1"/>
  <c r="S715" i="1"/>
  <c r="Q716" i="1"/>
  <c r="R716" i="1"/>
  <c r="S716" i="1"/>
  <c r="Q717" i="1"/>
  <c r="R717" i="1"/>
  <c r="S717" i="1"/>
  <c r="Q718" i="1"/>
  <c r="R718" i="1"/>
  <c r="S718" i="1"/>
  <c r="Q719" i="1"/>
  <c r="R719" i="1"/>
  <c r="S719" i="1"/>
  <c r="Q720" i="1"/>
  <c r="R720" i="1"/>
  <c r="S720" i="1"/>
  <c r="Q721" i="1"/>
  <c r="R721" i="1"/>
  <c r="S721" i="1"/>
  <c r="Q722" i="1"/>
  <c r="R722" i="1"/>
  <c r="S722" i="1"/>
  <c r="Q723" i="1"/>
  <c r="R723" i="1"/>
  <c r="S723" i="1"/>
  <c r="Q724" i="1"/>
  <c r="R724" i="1"/>
  <c r="S724" i="1"/>
  <c r="Q725" i="1"/>
  <c r="R725" i="1"/>
  <c r="S725" i="1"/>
  <c r="Q726" i="1"/>
  <c r="R726" i="1"/>
  <c r="S726" i="1"/>
  <c r="Q727" i="1"/>
  <c r="R727" i="1"/>
  <c r="S727" i="1"/>
  <c r="Q728" i="1"/>
  <c r="R728" i="1"/>
  <c r="S728" i="1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P469" i="2" s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2" i="2"/>
  <c r="D18" i="1"/>
  <c r="D19" i="1"/>
  <c r="D20" i="1"/>
  <c r="D21" i="1"/>
  <c r="D22" i="1"/>
  <c r="D23" i="1"/>
  <c r="D24" i="1"/>
  <c r="B5" i="1"/>
  <c r="Q483" i="1" l="1"/>
  <c r="R483" i="1"/>
  <c r="S483" i="1"/>
  <c r="P457" i="2"/>
  <c r="P456" i="2"/>
  <c r="P356" i="2"/>
  <c r="P152" i="2"/>
  <c r="P253" i="2"/>
  <c r="P252" i="2"/>
  <c r="P151" i="2"/>
  <c r="P337" i="2"/>
  <c r="P49" i="2"/>
  <c r="P468" i="2"/>
  <c r="P48" i="2"/>
  <c r="P455" i="2"/>
  <c r="P395" i="2"/>
  <c r="P354" i="2"/>
  <c r="P47" i="2"/>
  <c r="P181" i="2"/>
  <c r="P113" i="2"/>
  <c r="P193" i="2"/>
  <c r="P251" i="2"/>
  <c r="P35" i="2"/>
  <c r="P355" i="2"/>
  <c r="P284" i="2"/>
  <c r="P212" i="2"/>
  <c r="P397" i="2"/>
  <c r="P265" i="2"/>
  <c r="P13" i="2"/>
  <c r="P467" i="2"/>
  <c r="P323" i="2"/>
  <c r="P80" i="2"/>
  <c r="P431" i="2"/>
  <c r="P371" i="2"/>
  <c r="P335" i="2"/>
  <c r="P311" i="2"/>
  <c r="P275" i="2"/>
  <c r="P227" i="2"/>
  <c r="P167" i="2"/>
  <c r="P143" i="2"/>
  <c r="P107" i="2"/>
  <c r="P71" i="2"/>
  <c r="P23" i="2"/>
  <c r="P466" i="2"/>
  <c r="P430" i="2"/>
  <c r="P429" i="2"/>
  <c r="P406" i="2"/>
  <c r="P401" i="2"/>
  <c r="P366" i="2"/>
  <c r="P367" i="2"/>
  <c r="P368" i="2"/>
  <c r="P369" i="2"/>
  <c r="P370" i="2"/>
  <c r="P334" i="2"/>
  <c r="P329" i="2"/>
  <c r="P294" i="2"/>
  <c r="P296" i="2"/>
  <c r="P297" i="2"/>
  <c r="P298" i="2"/>
  <c r="P262" i="2"/>
  <c r="P257" i="2"/>
  <c r="P222" i="2"/>
  <c r="P225" i="2"/>
  <c r="P226" i="2"/>
  <c r="P202" i="2"/>
  <c r="P199" i="2"/>
  <c r="P198" i="2"/>
  <c r="P197" i="2"/>
  <c r="P164" i="2"/>
  <c r="P165" i="2"/>
  <c r="P166" i="2"/>
  <c r="P130" i="2"/>
  <c r="P125" i="2"/>
  <c r="P127" i="2"/>
  <c r="P126" i="2"/>
  <c r="P92" i="2"/>
  <c r="P93" i="2"/>
  <c r="P94" i="2"/>
  <c r="P45" i="2"/>
  <c r="P30" i="2"/>
  <c r="P31" i="2"/>
  <c r="P32" i="2"/>
  <c r="P33" i="2"/>
  <c r="P34" i="2"/>
  <c r="P325" i="2"/>
  <c r="P465" i="2"/>
  <c r="P417" i="2"/>
  <c r="P379" i="2"/>
  <c r="P333" i="2"/>
  <c r="P293" i="2"/>
  <c r="P249" i="2"/>
  <c r="P201" i="2"/>
  <c r="P149" i="2"/>
  <c r="P91" i="2"/>
  <c r="P44" i="2"/>
  <c r="P9" i="2"/>
  <c r="P416" i="2"/>
  <c r="P378" i="2"/>
  <c r="P306" i="2"/>
  <c r="P260" i="2"/>
  <c r="P188" i="2"/>
  <c r="P116" i="2"/>
  <c r="P56" i="2"/>
  <c r="P426" i="2"/>
  <c r="P213" i="2"/>
  <c r="P81" i="2"/>
  <c r="P419" i="2"/>
  <c r="P383" i="2"/>
  <c r="P359" i="2"/>
  <c r="P287" i="2"/>
  <c r="P263" i="2"/>
  <c r="P203" i="2"/>
  <c r="P191" i="2"/>
  <c r="P131" i="2"/>
  <c r="P119" i="2"/>
  <c r="P59" i="2"/>
  <c r="P11" i="2"/>
  <c r="P438" i="2"/>
  <c r="P439" i="2"/>
  <c r="P442" i="2"/>
  <c r="P440" i="2"/>
  <c r="P441" i="2"/>
  <c r="P394" i="2"/>
  <c r="P358" i="2"/>
  <c r="P353" i="2"/>
  <c r="P322" i="2"/>
  <c r="P312" i="2"/>
  <c r="P286" i="2"/>
  <c r="P281" i="2"/>
  <c r="P282" i="2"/>
  <c r="P236" i="2"/>
  <c r="P237" i="2"/>
  <c r="P238" i="2"/>
  <c r="P190" i="2"/>
  <c r="P150" i="2"/>
  <c r="P154" i="2"/>
  <c r="P118" i="2"/>
  <c r="P109" i="2"/>
  <c r="P108" i="2"/>
  <c r="P78" i="2"/>
  <c r="P79" i="2"/>
  <c r="P58" i="2"/>
  <c r="P22" i="2"/>
  <c r="P19" i="2"/>
  <c r="P18" i="2"/>
  <c r="P20" i="2"/>
  <c r="P428" i="2"/>
  <c r="P224" i="2"/>
  <c r="P451" i="2"/>
  <c r="P405" i="2"/>
  <c r="P365" i="2"/>
  <c r="P321" i="2"/>
  <c r="P273" i="2"/>
  <c r="P235" i="2"/>
  <c r="P177" i="2"/>
  <c r="P129" i="2"/>
  <c r="P105" i="2"/>
  <c r="P57" i="2"/>
  <c r="P324" i="2"/>
  <c r="P464" i="2"/>
  <c r="P404" i="2"/>
  <c r="P344" i="2"/>
  <c r="P320" i="2"/>
  <c r="P248" i="2"/>
  <c r="P200" i="2"/>
  <c r="P162" i="2"/>
  <c r="P104" i="2"/>
  <c r="P43" i="2"/>
  <c r="P313" i="2"/>
  <c r="P295" i="2"/>
  <c r="P285" i="2"/>
  <c r="P385" i="2"/>
  <c r="P384" i="2"/>
  <c r="P283" i="2"/>
  <c r="P180" i="2"/>
  <c r="P46" i="2"/>
  <c r="P443" i="2"/>
  <c r="P407" i="2"/>
  <c r="P347" i="2"/>
  <c r="P299" i="2"/>
  <c r="P239" i="2"/>
  <c r="P215" i="2"/>
  <c r="P179" i="2"/>
  <c r="P155" i="2"/>
  <c r="P95" i="2"/>
  <c r="P83" i="2"/>
  <c r="P141" i="2"/>
  <c r="P452" i="2"/>
  <c r="P453" i="2"/>
  <c r="P454" i="2"/>
  <c r="P418" i="2"/>
  <c r="P410" i="2"/>
  <c r="P415" i="2"/>
  <c r="P409" i="2"/>
  <c r="P413" i="2"/>
  <c r="P414" i="2"/>
  <c r="P380" i="2"/>
  <c r="P382" i="2"/>
  <c r="P381" i="2"/>
  <c r="P346" i="2"/>
  <c r="P338" i="2"/>
  <c r="P342" i="2"/>
  <c r="P343" i="2"/>
  <c r="P341" i="2"/>
  <c r="P308" i="2"/>
  <c r="P309" i="2"/>
  <c r="P310" i="2"/>
  <c r="P274" i="2"/>
  <c r="P269" i="2"/>
  <c r="P270" i="2"/>
  <c r="P271" i="2"/>
  <c r="P250" i="2"/>
  <c r="P240" i="2"/>
  <c r="P241" i="2"/>
  <c r="P214" i="2"/>
  <c r="P211" i="2"/>
  <c r="P209" i="2"/>
  <c r="P210" i="2"/>
  <c r="P178" i="2"/>
  <c r="P169" i="2"/>
  <c r="P168" i="2"/>
  <c r="P142" i="2"/>
  <c r="P137" i="2"/>
  <c r="P138" i="2"/>
  <c r="P139" i="2"/>
  <c r="P140" i="2"/>
  <c r="P106" i="2"/>
  <c r="P96" i="2"/>
  <c r="P97" i="2"/>
  <c r="P70" i="2"/>
  <c r="P62" i="2"/>
  <c r="P67" i="2"/>
  <c r="P68" i="2"/>
  <c r="P61" i="2"/>
  <c r="P66" i="2"/>
  <c r="P10" i="2"/>
  <c r="P121" i="2"/>
  <c r="P437" i="2"/>
  <c r="P393" i="2"/>
  <c r="P345" i="2"/>
  <c r="P307" i="2"/>
  <c r="P261" i="2"/>
  <c r="P221" i="2"/>
  <c r="P189" i="2"/>
  <c r="P163" i="2"/>
  <c r="P117" i="2"/>
  <c r="P69" i="2"/>
  <c r="P21" i="2"/>
  <c r="P427" i="2"/>
  <c r="P223" i="2"/>
  <c r="P450" i="2"/>
  <c r="P392" i="2"/>
  <c r="P332" i="2"/>
  <c r="P272" i="2"/>
  <c r="P234" i="2"/>
  <c r="P176" i="2"/>
  <c r="P128" i="2"/>
  <c r="P90" i="2"/>
  <c r="P8" i="2"/>
  <c r="P110" i="2"/>
  <c r="P425" i="2"/>
  <c r="P82" i="2"/>
  <c r="P396" i="2"/>
  <c r="P185" i="2"/>
  <c r="P182" i="2"/>
  <c r="P2" i="2"/>
  <c r="P398" i="2"/>
  <c r="P326" i="2"/>
  <c r="P266" i="2"/>
  <c r="P194" i="2"/>
  <c r="P122" i="2"/>
  <c r="P50" i="2"/>
  <c r="P14" i="2"/>
  <c r="P357" i="2"/>
  <c r="P254" i="2"/>
  <c r="P153" i="2"/>
  <c r="P463" i="2"/>
  <c r="P403" i="2"/>
  <c r="P331" i="2"/>
  <c r="P259" i="2"/>
  <c r="P187" i="2"/>
  <c r="P115" i="2"/>
  <c r="P55" i="2"/>
  <c r="P462" i="2"/>
  <c r="P390" i="2"/>
  <c r="P258" i="2"/>
  <c r="P174" i="2"/>
  <c r="P54" i="2"/>
  <c r="P461" i="2"/>
  <c r="P245" i="2"/>
  <c r="P435" i="2"/>
  <c r="P399" i="2"/>
  <c r="P375" i="2"/>
  <c r="P339" i="2"/>
  <c r="P303" i="2"/>
  <c r="P267" i="2"/>
  <c r="P231" i="2"/>
  <c r="P183" i="2"/>
  <c r="P147" i="2"/>
  <c r="P111" i="2"/>
  <c r="P63" i="2"/>
  <c r="P27" i="2"/>
  <c r="P434" i="2"/>
  <c r="P422" i="2"/>
  <c r="P386" i="2"/>
  <c r="P374" i="2"/>
  <c r="P362" i="2"/>
  <c r="P350" i="2"/>
  <c r="P314" i="2"/>
  <c r="P302" i="2"/>
  <c r="P290" i="2"/>
  <c r="P278" i="2"/>
  <c r="P242" i="2"/>
  <c r="P230" i="2"/>
  <c r="P218" i="2"/>
  <c r="P206" i="2"/>
  <c r="P170" i="2"/>
  <c r="P158" i="2"/>
  <c r="P146" i="2"/>
  <c r="P134" i="2"/>
  <c r="P98" i="2"/>
  <c r="P86" i="2"/>
  <c r="P74" i="2"/>
  <c r="P38" i="2"/>
  <c r="P26" i="2"/>
  <c r="P449" i="2"/>
  <c r="P391" i="2"/>
  <c r="P319" i="2"/>
  <c r="P247" i="2"/>
  <c r="P161" i="2"/>
  <c r="P89" i="2"/>
  <c r="P7" i="2"/>
  <c r="P330" i="2"/>
  <c r="P246" i="2"/>
  <c r="P114" i="2"/>
  <c r="P389" i="2"/>
  <c r="P173" i="2"/>
  <c r="P459" i="2"/>
  <c r="P423" i="2"/>
  <c r="P387" i="2"/>
  <c r="P351" i="2"/>
  <c r="P315" i="2"/>
  <c r="P279" i="2"/>
  <c r="P243" i="2"/>
  <c r="P207" i="2"/>
  <c r="P171" i="2"/>
  <c r="P135" i="2"/>
  <c r="P99" i="2"/>
  <c r="P75" i="2"/>
  <c r="P39" i="2"/>
  <c r="P15" i="2"/>
  <c r="P446" i="2"/>
  <c r="P445" i="2"/>
  <c r="P433" i="2"/>
  <c r="P421" i="2"/>
  <c r="P373" i="2"/>
  <c r="P361" i="2"/>
  <c r="P349" i="2"/>
  <c r="P301" i="2"/>
  <c r="P289" i="2"/>
  <c r="P277" i="2"/>
  <c r="P229" i="2"/>
  <c r="P217" i="2"/>
  <c r="P205" i="2"/>
  <c r="P157" i="2"/>
  <c r="P145" i="2"/>
  <c r="P133" i="2"/>
  <c r="P85" i="2"/>
  <c r="P73" i="2"/>
  <c r="P37" i="2"/>
  <c r="P25" i="2"/>
  <c r="P377" i="2"/>
  <c r="P305" i="2"/>
  <c r="P233" i="2"/>
  <c r="P175" i="2"/>
  <c r="P103" i="2"/>
  <c r="P42" i="2"/>
  <c r="P402" i="2"/>
  <c r="P318" i="2"/>
  <c r="P186" i="2"/>
  <c r="P102" i="2"/>
  <c r="P6" i="2"/>
  <c r="P317" i="2"/>
  <c r="P101" i="2"/>
  <c r="P447" i="2"/>
  <c r="P411" i="2"/>
  <c r="P363" i="2"/>
  <c r="P327" i="2"/>
  <c r="P291" i="2"/>
  <c r="P255" i="2"/>
  <c r="P219" i="2"/>
  <c r="P195" i="2"/>
  <c r="P159" i="2"/>
  <c r="P123" i="2"/>
  <c r="P87" i="2"/>
  <c r="P51" i="2"/>
  <c r="P3" i="2"/>
  <c r="P458" i="2"/>
  <c r="P444" i="2"/>
  <c r="P432" i="2"/>
  <c r="P420" i="2"/>
  <c r="P408" i="2"/>
  <c r="P372" i="2"/>
  <c r="P360" i="2"/>
  <c r="P348" i="2"/>
  <c r="P336" i="2"/>
  <c r="P300" i="2"/>
  <c r="P288" i="2"/>
  <c r="P276" i="2"/>
  <c r="P264" i="2"/>
  <c r="P228" i="2"/>
  <c r="P216" i="2"/>
  <c r="P204" i="2"/>
  <c r="P192" i="2"/>
  <c r="P156" i="2"/>
  <c r="P144" i="2"/>
  <c r="P132" i="2"/>
  <c r="P120" i="2"/>
  <c r="P84" i="2"/>
  <c r="P72" i="2"/>
  <c r="P60" i="2"/>
  <c r="P36" i="2"/>
  <c r="P24" i="2"/>
  <c r="P12" i="2"/>
  <c r="P77" i="2"/>
  <c r="P53" i="2"/>
  <c r="P41" i="2"/>
  <c r="P29" i="2"/>
  <c r="P17" i="2"/>
  <c r="P5" i="2"/>
  <c r="P65" i="2"/>
  <c r="P460" i="2"/>
  <c r="P448" i="2"/>
  <c r="P436" i="2"/>
  <c r="P424" i="2"/>
  <c r="P412" i="2"/>
  <c r="P400" i="2"/>
  <c r="P388" i="2"/>
  <c r="P376" i="2"/>
  <c r="P364" i="2"/>
  <c r="P352" i="2"/>
  <c r="P340" i="2"/>
  <c r="P328" i="2"/>
  <c r="P316" i="2"/>
  <c r="P304" i="2"/>
  <c r="P292" i="2"/>
  <c r="P280" i="2"/>
  <c r="P268" i="2"/>
  <c r="P256" i="2"/>
  <c r="P244" i="2"/>
  <c r="P232" i="2"/>
  <c r="P220" i="2"/>
  <c r="P208" i="2"/>
  <c r="P196" i="2"/>
  <c r="P184" i="2"/>
  <c r="P172" i="2"/>
  <c r="P160" i="2"/>
  <c r="P148" i="2"/>
  <c r="P136" i="2"/>
  <c r="P124" i="2"/>
  <c r="P112" i="2"/>
  <c r="P100" i="2"/>
  <c r="P88" i="2"/>
  <c r="P76" i="2"/>
  <c r="P64" i="2"/>
  <c r="P52" i="2"/>
  <c r="P40" i="2"/>
  <c r="P28" i="2"/>
  <c r="P16" i="2"/>
  <c r="P4" i="2"/>
  <c r="Y3" i="3"/>
  <c r="M16" i="1"/>
  <c r="M17" i="1"/>
  <c r="M18" i="1"/>
  <c r="M19" i="1"/>
  <c r="M20" i="1"/>
  <c r="M21" i="1"/>
  <c r="M22" i="1"/>
  <c r="M23" i="1"/>
  <c r="M24" i="1"/>
  <c r="M15" i="1"/>
  <c r="R16" i="1" l="1"/>
  <c r="S16" i="1"/>
  <c r="Q303" i="1"/>
  <c r="R303" i="1"/>
  <c r="S303" i="1"/>
  <c r="Q406" i="1"/>
  <c r="R406" i="1"/>
  <c r="S406" i="1"/>
  <c r="Q63" i="1"/>
  <c r="R63" i="1"/>
  <c r="S63" i="1"/>
  <c r="Q188" i="1"/>
  <c r="R188" i="1"/>
  <c r="S188" i="1"/>
  <c r="Q191" i="1"/>
  <c r="R191" i="1"/>
  <c r="S191" i="1"/>
  <c r="R453" i="1"/>
  <c r="S453" i="1"/>
  <c r="Q453" i="1"/>
  <c r="Q420" i="1"/>
  <c r="R420" i="1"/>
  <c r="S420" i="1"/>
  <c r="Q20" i="1"/>
  <c r="R20" i="1"/>
  <c r="S20" i="1"/>
  <c r="Q100" i="1"/>
  <c r="R100" i="1"/>
  <c r="S100" i="1"/>
  <c r="Q316" i="1"/>
  <c r="R316" i="1"/>
  <c r="S316" i="1"/>
  <c r="Q197" i="1"/>
  <c r="R197" i="1"/>
  <c r="S197" i="1"/>
  <c r="Q272" i="1"/>
  <c r="R272" i="1"/>
  <c r="S272" i="1"/>
  <c r="Q371" i="1"/>
  <c r="R371" i="1"/>
  <c r="S371" i="1"/>
  <c r="Q96" i="1"/>
  <c r="R96" i="1"/>
  <c r="S96" i="1"/>
  <c r="Q237" i="1"/>
  <c r="R237" i="1"/>
  <c r="S237" i="1"/>
  <c r="Q451" i="1"/>
  <c r="R451" i="1"/>
  <c r="S451" i="1"/>
  <c r="Q154" i="1"/>
  <c r="R154" i="1"/>
  <c r="S154" i="1"/>
  <c r="Q255" i="1"/>
  <c r="R255" i="1"/>
  <c r="S255" i="1"/>
  <c r="Q356" i="1"/>
  <c r="R356" i="1"/>
  <c r="S356" i="1"/>
  <c r="Q468" i="1"/>
  <c r="R468" i="1"/>
  <c r="S468" i="1"/>
  <c r="R421" i="1"/>
  <c r="S421" i="1"/>
  <c r="Q421" i="1"/>
  <c r="Q176" i="1"/>
  <c r="R176" i="1"/>
  <c r="S176" i="1"/>
  <c r="Q249" i="1"/>
  <c r="R249" i="1"/>
  <c r="S249" i="1"/>
  <c r="Q72" i="1"/>
  <c r="R72" i="1"/>
  <c r="S72" i="1"/>
  <c r="Q296" i="1"/>
  <c r="R296" i="1"/>
  <c r="S296" i="1"/>
  <c r="Q452" i="1"/>
  <c r="R452" i="1"/>
  <c r="S452" i="1"/>
  <c r="Q95" i="1"/>
  <c r="R95" i="1"/>
  <c r="S95" i="1"/>
  <c r="Q105" i="1"/>
  <c r="R105" i="1"/>
  <c r="S105" i="1"/>
  <c r="Q46" i="1"/>
  <c r="R46" i="1"/>
  <c r="S46" i="1"/>
  <c r="Q179" i="1"/>
  <c r="R179" i="1"/>
  <c r="S179" i="1"/>
  <c r="Q311" i="1"/>
  <c r="R311" i="1"/>
  <c r="S311" i="1"/>
  <c r="Q443" i="1"/>
  <c r="R443" i="1"/>
  <c r="S443" i="1"/>
  <c r="R385" i="1"/>
  <c r="S385" i="1"/>
  <c r="Q385" i="1"/>
  <c r="Q265" i="1"/>
  <c r="R265" i="1"/>
  <c r="S265" i="1"/>
  <c r="Q165" i="1"/>
  <c r="R165" i="1"/>
  <c r="S165" i="1"/>
  <c r="S330" i="1"/>
  <c r="Q330" i="1"/>
  <c r="R330" i="1"/>
  <c r="Q199" i="1"/>
  <c r="R199" i="1"/>
  <c r="S199" i="1"/>
  <c r="Q144" i="1"/>
  <c r="R144" i="1"/>
  <c r="S144" i="1"/>
  <c r="Q128" i="1"/>
  <c r="R128" i="1"/>
  <c r="S128" i="1"/>
  <c r="R357" i="1"/>
  <c r="S357" i="1"/>
  <c r="Q357" i="1"/>
  <c r="Q432" i="1"/>
  <c r="R432" i="1"/>
  <c r="S432" i="1"/>
  <c r="R433" i="1"/>
  <c r="S433" i="1"/>
  <c r="Q433" i="1"/>
  <c r="Q66" i="1"/>
  <c r="R66" i="1"/>
  <c r="S66" i="1"/>
  <c r="S350" i="1"/>
  <c r="Q350" i="1"/>
  <c r="R350" i="1"/>
  <c r="Q31" i="1"/>
  <c r="R31" i="1"/>
  <c r="S31" i="1"/>
  <c r="Q112" i="1"/>
  <c r="R112" i="1"/>
  <c r="S112" i="1"/>
  <c r="Q404" i="1"/>
  <c r="R404" i="1"/>
  <c r="S404" i="1"/>
  <c r="Q28" i="1"/>
  <c r="R28" i="1"/>
  <c r="S28" i="1"/>
  <c r="Q439" i="1"/>
  <c r="R439" i="1"/>
  <c r="S439" i="1"/>
  <c r="R441" i="1"/>
  <c r="S441" i="1"/>
  <c r="Q441" i="1"/>
  <c r="Q135" i="1"/>
  <c r="R135" i="1"/>
  <c r="S135" i="1"/>
  <c r="Q153" i="1"/>
  <c r="R153" i="1"/>
  <c r="S153" i="1"/>
  <c r="S254" i="1"/>
  <c r="Q254" i="1"/>
  <c r="R254" i="1"/>
  <c r="S352" i="1"/>
  <c r="R352" i="1"/>
  <c r="Q352" i="1"/>
  <c r="Q467" i="1"/>
  <c r="R467" i="1"/>
  <c r="S467" i="1"/>
  <c r="R457" i="1"/>
  <c r="S457" i="1"/>
  <c r="Q457" i="1"/>
  <c r="R214" i="1"/>
  <c r="S214" i="1"/>
  <c r="Q214" i="1"/>
  <c r="Q287" i="1"/>
  <c r="R287" i="1"/>
  <c r="S287" i="1"/>
  <c r="Q93" i="1"/>
  <c r="R93" i="1"/>
  <c r="S93" i="1"/>
  <c r="Q295" i="1"/>
  <c r="R295" i="1"/>
  <c r="S295" i="1"/>
  <c r="Q25" i="1"/>
  <c r="R25" i="1"/>
  <c r="S25" i="1"/>
  <c r="Q227" i="1"/>
  <c r="R227" i="1"/>
  <c r="S227" i="1"/>
  <c r="Q163" i="1"/>
  <c r="R163" i="1"/>
  <c r="S163" i="1"/>
  <c r="Q45" i="1"/>
  <c r="R45" i="1"/>
  <c r="S45" i="1"/>
  <c r="Q178" i="1"/>
  <c r="R178" i="1"/>
  <c r="S178" i="1"/>
  <c r="S310" i="1"/>
  <c r="Q310" i="1"/>
  <c r="R310" i="1"/>
  <c r="Q444" i="1"/>
  <c r="R444" i="1"/>
  <c r="S444" i="1"/>
  <c r="R445" i="1"/>
  <c r="S445" i="1"/>
  <c r="Q445" i="1"/>
  <c r="Q207" i="1"/>
  <c r="R207" i="1"/>
  <c r="S207" i="1"/>
  <c r="S266" i="1"/>
  <c r="Q266" i="1"/>
  <c r="R266" i="1"/>
  <c r="Q115" i="1"/>
  <c r="R115" i="1"/>
  <c r="S115" i="1"/>
  <c r="Q57" i="1"/>
  <c r="R57" i="1"/>
  <c r="S57" i="1"/>
  <c r="Q415" i="1"/>
  <c r="R415" i="1"/>
  <c r="S415" i="1"/>
  <c r="Q161" i="1"/>
  <c r="R161" i="1"/>
  <c r="S161" i="1"/>
  <c r="Q58" i="1"/>
  <c r="R58" i="1"/>
  <c r="S58" i="1"/>
  <c r="Q19" i="1"/>
  <c r="R19" i="1"/>
  <c r="S19" i="1"/>
  <c r="Q185" i="1"/>
  <c r="R185" i="1"/>
  <c r="S185" i="1"/>
  <c r="Q87" i="1"/>
  <c r="R87" i="1"/>
  <c r="S87" i="1"/>
  <c r="S328" i="1"/>
  <c r="R328" i="1"/>
  <c r="Q328" i="1"/>
  <c r="Q378" i="1"/>
  <c r="R378" i="1"/>
  <c r="S378" i="1"/>
  <c r="Q21" i="1"/>
  <c r="R21" i="1"/>
  <c r="S21" i="1"/>
  <c r="Q35" i="1"/>
  <c r="R35" i="1"/>
  <c r="S35" i="1"/>
  <c r="R264" i="1"/>
  <c r="S264" i="1"/>
  <c r="Q264" i="1"/>
  <c r="Q360" i="1"/>
  <c r="R360" i="1"/>
  <c r="S360" i="1"/>
  <c r="Q466" i="1"/>
  <c r="R466" i="1"/>
  <c r="S466" i="1"/>
  <c r="Q60" i="1"/>
  <c r="R60" i="1"/>
  <c r="S60" i="1"/>
  <c r="S262" i="1"/>
  <c r="Q262" i="1"/>
  <c r="R262" i="1"/>
  <c r="Q335" i="1"/>
  <c r="R335" i="1"/>
  <c r="S335" i="1"/>
  <c r="Q92" i="1"/>
  <c r="R92" i="1"/>
  <c r="S92" i="1"/>
  <c r="Q300" i="1"/>
  <c r="R300" i="1"/>
  <c r="S300" i="1"/>
  <c r="Q73" i="1"/>
  <c r="R73" i="1"/>
  <c r="S73" i="1"/>
  <c r="Q440" i="1"/>
  <c r="R440" i="1"/>
  <c r="S440" i="1"/>
  <c r="Q215" i="1"/>
  <c r="R215" i="1"/>
  <c r="S215" i="1"/>
  <c r="Q44" i="1"/>
  <c r="R44" i="1"/>
  <c r="S44" i="1"/>
  <c r="Q211" i="1"/>
  <c r="R211" i="1"/>
  <c r="S211" i="1"/>
  <c r="Q308" i="1"/>
  <c r="R308" i="1"/>
  <c r="S308" i="1"/>
  <c r="Q480" i="1"/>
  <c r="R480" i="1"/>
  <c r="S480" i="1"/>
  <c r="Q94" i="1"/>
  <c r="R94" i="1"/>
  <c r="S94" i="1"/>
  <c r="Q127" i="1"/>
  <c r="R127" i="1"/>
  <c r="S127" i="1"/>
  <c r="Q267" i="1"/>
  <c r="R267" i="1"/>
  <c r="S267" i="1"/>
  <c r="Q42" i="1"/>
  <c r="R42" i="1"/>
  <c r="S42" i="1"/>
  <c r="Q474" i="1"/>
  <c r="R474" i="1"/>
  <c r="S474" i="1"/>
  <c r="Q391" i="1"/>
  <c r="R391" i="1"/>
  <c r="S391" i="1"/>
  <c r="Q167" i="1"/>
  <c r="R167" i="1"/>
  <c r="S167" i="1"/>
  <c r="Q359" i="1"/>
  <c r="R359" i="1"/>
  <c r="S359" i="1"/>
  <c r="Q33" i="1"/>
  <c r="R33" i="1"/>
  <c r="S33" i="1"/>
  <c r="R397" i="1"/>
  <c r="S397" i="1"/>
  <c r="Q397" i="1"/>
  <c r="R369" i="1"/>
  <c r="S369" i="1"/>
  <c r="Q369" i="1"/>
  <c r="S342" i="1"/>
  <c r="Q342" i="1"/>
  <c r="R342" i="1"/>
  <c r="Q39" i="1"/>
  <c r="R39" i="1"/>
  <c r="S39" i="1"/>
  <c r="Q268" i="1"/>
  <c r="R268" i="1"/>
  <c r="S268" i="1"/>
  <c r="Q464" i="1"/>
  <c r="R464" i="1"/>
  <c r="S464" i="1"/>
  <c r="Q118" i="1"/>
  <c r="R118" i="1"/>
  <c r="S118" i="1"/>
  <c r="R250" i="1"/>
  <c r="S250" i="1"/>
  <c r="Q250" i="1"/>
  <c r="Q180" i="1"/>
  <c r="R180" i="1"/>
  <c r="S180" i="1"/>
  <c r="Q312" i="1"/>
  <c r="R312" i="1"/>
  <c r="S312" i="1"/>
  <c r="R349" i="1"/>
  <c r="Q349" i="1"/>
  <c r="S349" i="1"/>
  <c r="Q351" i="1"/>
  <c r="R351" i="1"/>
  <c r="S351" i="1"/>
  <c r="Q134" i="1"/>
  <c r="R134" i="1"/>
  <c r="S134" i="1"/>
  <c r="Q51" i="1"/>
  <c r="R51" i="1"/>
  <c r="S51" i="1"/>
  <c r="Q260" i="1"/>
  <c r="R260" i="1"/>
  <c r="S260" i="1"/>
  <c r="R222" i="1"/>
  <c r="S222" i="1"/>
  <c r="Q222" i="1"/>
  <c r="Q366" i="1"/>
  <c r="R366" i="1"/>
  <c r="S366" i="1"/>
  <c r="Q362" i="1"/>
  <c r="R362" i="1"/>
  <c r="S362" i="1"/>
  <c r="Q116" i="1"/>
  <c r="R116" i="1"/>
  <c r="S116" i="1"/>
  <c r="Q375" i="1"/>
  <c r="R375" i="1"/>
  <c r="S375" i="1"/>
  <c r="Q344" i="1"/>
  <c r="R344" i="1"/>
  <c r="S344" i="1"/>
  <c r="Q90" i="1"/>
  <c r="R90" i="1"/>
  <c r="S90" i="1"/>
  <c r="Q43" i="1"/>
  <c r="R43" i="1"/>
  <c r="S43" i="1"/>
  <c r="Q209" i="1"/>
  <c r="R209" i="1"/>
  <c r="S209" i="1"/>
  <c r="Q200" i="1"/>
  <c r="R200" i="1"/>
  <c r="S200" i="1"/>
  <c r="Q387" i="1"/>
  <c r="R387" i="1"/>
  <c r="S387" i="1"/>
  <c r="Q257" i="1"/>
  <c r="R257" i="1"/>
  <c r="S257" i="1"/>
  <c r="Q364" i="1"/>
  <c r="R364" i="1"/>
  <c r="S364" i="1"/>
  <c r="Q281" i="1"/>
  <c r="R281" i="1"/>
  <c r="S281" i="1"/>
  <c r="Q476" i="1"/>
  <c r="R476" i="1"/>
  <c r="S476" i="1"/>
  <c r="Q124" i="1"/>
  <c r="R124" i="1"/>
  <c r="S124" i="1"/>
  <c r="Q152" i="1"/>
  <c r="R152" i="1"/>
  <c r="S152" i="1"/>
  <c r="Q102" i="1"/>
  <c r="R102" i="1"/>
  <c r="S102" i="1"/>
  <c r="R246" i="1"/>
  <c r="S246" i="1"/>
  <c r="Q246" i="1"/>
  <c r="Q390" i="1"/>
  <c r="R390" i="1"/>
  <c r="S390" i="1"/>
  <c r="Q55" i="1"/>
  <c r="R55" i="1"/>
  <c r="S55" i="1"/>
  <c r="Q170" i="1"/>
  <c r="R170" i="1"/>
  <c r="S170" i="1"/>
  <c r="Q386" i="1"/>
  <c r="R386" i="1"/>
  <c r="S386" i="1"/>
  <c r="Q233" i="1"/>
  <c r="R233" i="1"/>
  <c r="S233" i="1"/>
  <c r="Q332" i="1"/>
  <c r="R332" i="1"/>
  <c r="S332" i="1"/>
  <c r="Q147" i="1"/>
  <c r="R147" i="1"/>
  <c r="S147" i="1"/>
  <c r="Q435" i="1"/>
  <c r="R435" i="1"/>
  <c r="S435" i="1"/>
  <c r="Q293" i="1"/>
  <c r="R293" i="1"/>
  <c r="S293" i="1"/>
  <c r="Q103" i="1"/>
  <c r="R103" i="1"/>
  <c r="S103" i="1"/>
  <c r="Q160" i="1"/>
  <c r="R160" i="1"/>
  <c r="S160" i="1"/>
  <c r="Q376" i="1"/>
  <c r="R376" i="1"/>
  <c r="S376" i="1"/>
  <c r="R317" i="1"/>
  <c r="Q317" i="1"/>
  <c r="S317" i="1"/>
  <c r="Q69" i="1"/>
  <c r="R69" i="1"/>
  <c r="S69" i="1"/>
  <c r="Q136" i="1"/>
  <c r="R136" i="1"/>
  <c r="S136" i="1"/>
  <c r="Q22" i="1"/>
  <c r="R22" i="1"/>
  <c r="S22" i="1"/>
  <c r="Q83" i="1"/>
  <c r="R83" i="1"/>
  <c r="S83" i="1"/>
  <c r="Q80" i="1"/>
  <c r="R80" i="1"/>
  <c r="S80" i="1"/>
  <c r="Q151" i="1"/>
  <c r="R151" i="1"/>
  <c r="S151" i="1"/>
  <c r="Q285" i="1"/>
  <c r="R285" i="1"/>
  <c r="S285" i="1"/>
  <c r="Q395" i="1"/>
  <c r="R395" i="1"/>
  <c r="S395" i="1"/>
  <c r="Q155" i="1"/>
  <c r="R155" i="1"/>
  <c r="S155" i="1"/>
  <c r="Q194" i="1"/>
  <c r="R194" i="1"/>
  <c r="S194" i="1"/>
  <c r="S334" i="1"/>
  <c r="Q334" i="1"/>
  <c r="R334" i="1"/>
  <c r="Q379" i="1"/>
  <c r="R379" i="1"/>
  <c r="S379" i="1"/>
  <c r="Q122" i="1"/>
  <c r="R122" i="1"/>
  <c r="S122" i="1"/>
  <c r="S326" i="1"/>
  <c r="Q326" i="1"/>
  <c r="R326" i="1"/>
  <c r="Q133" i="1"/>
  <c r="R133" i="1"/>
  <c r="S133" i="1"/>
  <c r="Q70" i="1"/>
  <c r="R70" i="1"/>
  <c r="S70" i="1"/>
  <c r="Q263" i="1"/>
  <c r="R263" i="1"/>
  <c r="S263" i="1"/>
  <c r="Q59" i="1"/>
  <c r="R59" i="1"/>
  <c r="S59" i="1"/>
  <c r="Q212" i="1"/>
  <c r="R212" i="1"/>
  <c r="S212" i="1"/>
  <c r="R343" i="1"/>
  <c r="S343" i="1"/>
  <c r="Q343" i="1"/>
  <c r="Q37" i="1"/>
  <c r="R37" i="1"/>
  <c r="S37" i="1"/>
  <c r="R337" i="1"/>
  <c r="Q337" i="1"/>
  <c r="S337" i="1"/>
  <c r="Q195" i="1"/>
  <c r="R195" i="1"/>
  <c r="S195" i="1"/>
  <c r="Q166" i="1"/>
  <c r="R166" i="1"/>
  <c r="S166" i="1"/>
  <c r="Q65" i="1"/>
  <c r="R65" i="1"/>
  <c r="S65" i="1"/>
  <c r="Q125" i="1"/>
  <c r="R125" i="1"/>
  <c r="S125" i="1"/>
  <c r="Q225" i="1"/>
  <c r="R225" i="1"/>
  <c r="S225" i="1"/>
  <c r="Q424" i="1"/>
  <c r="R424" i="1"/>
  <c r="S424" i="1"/>
  <c r="Q251" i="1"/>
  <c r="R251" i="1"/>
  <c r="S251" i="1"/>
  <c r="R276" i="1"/>
  <c r="S276" i="1"/>
  <c r="Q276" i="1"/>
  <c r="Q198" i="1"/>
  <c r="R198" i="1"/>
  <c r="S198" i="1"/>
  <c r="S314" i="1"/>
  <c r="R314" i="1"/>
  <c r="Q314" i="1"/>
  <c r="Q315" i="1"/>
  <c r="R315" i="1"/>
  <c r="S315" i="1"/>
  <c r="Q120" i="1"/>
  <c r="R120" i="1"/>
  <c r="S120" i="1"/>
  <c r="Q36" i="1"/>
  <c r="R36" i="1"/>
  <c r="S36" i="1"/>
  <c r="Q47" i="1"/>
  <c r="R47" i="1"/>
  <c r="S47" i="1"/>
  <c r="Q49" i="1"/>
  <c r="R49" i="1"/>
  <c r="S49" i="1"/>
  <c r="R210" i="1"/>
  <c r="S210" i="1"/>
  <c r="Q210" i="1"/>
  <c r="S354" i="1"/>
  <c r="Q354" i="1"/>
  <c r="R354" i="1"/>
  <c r="Q137" i="1"/>
  <c r="R137" i="1"/>
  <c r="S137" i="1"/>
  <c r="Q363" i="1"/>
  <c r="R363" i="1"/>
  <c r="S363" i="1"/>
  <c r="Q78" i="1"/>
  <c r="R78" i="1"/>
  <c r="S78" i="1"/>
  <c r="Q146" i="1"/>
  <c r="R146" i="1"/>
  <c r="S146" i="1"/>
  <c r="Q173" i="1"/>
  <c r="R173" i="1"/>
  <c r="S173" i="1"/>
  <c r="Q221" i="1"/>
  <c r="R221" i="1"/>
  <c r="S221" i="1"/>
  <c r="Q245" i="1"/>
  <c r="R245" i="1"/>
  <c r="S245" i="1"/>
  <c r="R234" i="1"/>
  <c r="S234" i="1"/>
  <c r="Q234" i="1"/>
  <c r="Q158" i="1"/>
  <c r="R158" i="1"/>
  <c r="S158" i="1"/>
  <c r="Q374" i="1"/>
  <c r="R374" i="1"/>
  <c r="S374" i="1"/>
  <c r="Q99" i="1"/>
  <c r="R99" i="1"/>
  <c r="S99" i="1"/>
  <c r="Q148" i="1"/>
  <c r="R148" i="1"/>
  <c r="S148" i="1"/>
  <c r="Q64" i="1"/>
  <c r="R64" i="1"/>
  <c r="S64" i="1"/>
  <c r="Q24" i="1"/>
  <c r="R24" i="1"/>
  <c r="S24" i="1"/>
  <c r="Q114" i="1"/>
  <c r="R114" i="1"/>
  <c r="S114" i="1"/>
  <c r="S258" i="1"/>
  <c r="R258" i="1"/>
  <c r="Q258" i="1"/>
  <c r="Q402" i="1"/>
  <c r="R402" i="1"/>
  <c r="S402" i="1"/>
  <c r="Q67" i="1"/>
  <c r="R67" i="1"/>
  <c r="S67" i="1"/>
  <c r="R206" i="1"/>
  <c r="S206" i="1"/>
  <c r="Q206" i="1"/>
  <c r="Q422" i="1"/>
  <c r="R422" i="1"/>
  <c r="S422" i="1"/>
  <c r="Q269" i="1"/>
  <c r="R269" i="1"/>
  <c r="S269" i="1"/>
  <c r="Q416" i="1"/>
  <c r="R416" i="1"/>
  <c r="S416" i="1"/>
  <c r="Q159" i="1"/>
  <c r="R159" i="1"/>
  <c r="S159" i="1"/>
  <c r="Q447" i="1"/>
  <c r="R447" i="1"/>
  <c r="S447" i="1"/>
  <c r="R329" i="1"/>
  <c r="Q329" i="1"/>
  <c r="S329" i="1"/>
  <c r="Q175" i="1"/>
  <c r="R175" i="1"/>
  <c r="S175" i="1"/>
  <c r="Q172" i="1"/>
  <c r="R172" i="1"/>
  <c r="S172" i="1"/>
  <c r="Q388" i="1"/>
  <c r="R388" i="1"/>
  <c r="S388" i="1"/>
  <c r="R353" i="1"/>
  <c r="Q353" i="1"/>
  <c r="S353" i="1"/>
  <c r="Q129" i="1"/>
  <c r="R129" i="1"/>
  <c r="S129" i="1"/>
  <c r="Q208" i="1"/>
  <c r="R208" i="1"/>
  <c r="S208" i="1"/>
  <c r="Q104" i="1"/>
  <c r="R104" i="1"/>
  <c r="S104" i="1"/>
  <c r="Q131" i="1"/>
  <c r="R131" i="1"/>
  <c r="S131" i="1"/>
  <c r="Q75" i="1"/>
  <c r="R75" i="1"/>
  <c r="S75" i="1"/>
  <c r="Q156" i="1"/>
  <c r="R156" i="1"/>
  <c r="S156" i="1"/>
  <c r="Q284" i="1"/>
  <c r="R284" i="1"/>
  <c r="S284" i="1"/>
  <c r="Q396" i="1"/>
  <c r="R396" i="1"/>
  <c r="S396" i="1"/>
  <c r="Q97" i="1"/>
  <c r="R97" i="1"/>
  <c r="S97" i="1"/>
  <c r="Q297" i="1"/>
  <c r="R297" i="1"/>
  <c r="S297" i="1"/>
  <c r="Q358" i="1"/>
  <c r="R358" i="1"/>
  <c r="S358" i="1"/>
  <c r="Q419" i="1"/>
  <c r="R419" i="1"/>
  <c r="S419" i="1"/>
  <c r="Q123" i="1"/>
  <c r="R123" i="1"/>
  <c r="S123" i="1"/>
  <c r="Q336" i="1"/>
  <c r="R336" i="1"/>
  <c r="S336" i="1"/>
  <c r="Q145" i="1"/>
  <c r="R145" i="1"/>
  <c r="S145" i="1"/>
  <c r="Q130" i="1"/>
  <c r="R130" i="1"/>
  <c r="S130" i="1"/>
  <c r="Q307" i="1"/>
  <c r="R307" i="1"/>
  <c r="S307" i="1"/>
  <c r="Q108" i="1"/>
  <c r="R108" i="1"/>
  <c r="S108" i="1"/>
  <c r="Q213" i="1"/>
  <c r="R213" i="1"/>
  <c r="S213" i="1"/>
  <c r="Q348" i="1"/>
  <c r="R348" i="1"/>
  <c r="S348" i="1"/>
  <c r="Q85" i="1"/>
  <c r="R85" i="1"/>
  <c r="S85" i="1"/>
  <c r="R481" i="1"/>
  <c r="S481" i="1"/>
  <c r="Q481" i="1"/>
  <c r="Q61" i="1"/>
  <c r="R61" i="1"/>
  <c r="S61" i="1"/>
  <c r="Q370" i="1"/>
  <c r="R370" i="1"/>
  <c r="S370" i="1"/>
  <c r="Q186" i="1"/>
  <c r="R186" i="1"/>
  <c r="S186" i="1"/>
  <c r="Q292" i="1"/>
  <c r="R292" i="1"/>
  <c r="S292" i="1"/>
  <c r="Q23" i="1"/>
  <c r="R23" i="1"/>
  <c r="S23" i="1"/>
  <c r="Q101" i="1"/>
  <c r="R101" i="1"/>
  <c r="S101" i="1"/>
  <c r="Q407" i="1"/>
  <c r="R407" i="1"/>
  <c r="S407" i="1"/>
  <c r="S270" i="1"/>
  <c r="R270" i="1"/>
  <c r="Q270" i="1"/>
  <c r="Q414" i="1"/>
  <c r="R414" i="1"/>
  <c r="S414" i="1"/>
  <c r="Q91" i="1"/>
  <c r="R91" i="1"/>
  <c r="S91" i="1"/>
  <c r="R218" i="1"/>
  <c r="S218" i="1"/>
  <c r="Q218" i="1"/>
  <c r="Q434" i="1"/>
  <c r="R434" i="1"/>
  <c r="S434" i="1"/>
  <c r="R305" i="1"/>
  <c r="Q305" i="1"/>
  <c r="S305" i="1"/>
  <c r="Q56" i="1"/>
  <c r="R56" i="1"/>
  <c r="S56" i="1"/>
  <c r="Q171" i="1"/>
  <c r="R171" i="1"/>
  <c r="S171" i="1"/>
  <c r="Q459" i="1"/>
  <c r="R459" i="1"/>
  <c r="S459" i="1"/>
  <c r="R365" i="1"/>
  <c r="S365" i="1"/>
  <c r="Q365" i="1"/>
  <c r="Q261" i="1"/>
  <c r="R261" i="1"/>
  <c r="S261" i="1"/>
  <c r="Q184" i="1"/>
  <c r="R184" i="1"/>
  <c r="S184" i="1"/>
  <c r="Q400" i="1"/>
  <c r="R400" i="1"/>
  <c r="S400" i="1"/>
  <c r="R389" i="1"/>
  <c r="S389" i="1"/>
  <c r="Q389" i="1"/>
  <c r="Q201" i="1"/>
  <c r="R201" i="1"/>
  <c r="S201" i="1"/>
  <c r="Q280" i="1"/>
  <c r="R280" i="1"/>
  <c r="S280" i="1"/>
  <c r="Q142" i="1"/>
  <c r="R142" i="1"/>
  <c r="S142" i="1"/>
  <c r="Q177" i="1"/>
  <c r="R177" i="1"/>
  <c r="S177" i="1"/>
  <c r="Q82" i="1"/>
  <c r="R82" i="1"/>
  <c r="S82" i="1"/>
  <c r="Q182" i="1"/>
  <c r="R182" i="1"/>
  <c r="S182" i="1"/>
  <c r="Q283" i="1"/>
  <c r="R283" i="1"/>
  <c r="S283" i="1"/>
  <c r="Q394" i="1"/>
  <c r="R394" i="1"/>
  <c r="S394" i="1"/>
  <c r="Q109" i="1"/>
  <c r="R109" i="1"/>
  <c r="S109" i="1"/>
  <c r="Q398" i="1"/>
  <c r="R398" i="1"/>
  <c r="S398" i="1"/>
  <c r="Q418" i="1"/>
  <c r="R418" i="1"/>
  <c r="S418" i="1"/>
  <c r="R465" i="1"/>
  <c r="S465" i="1"/>
  <c r="Q465" i="1"/>
  <c r="Q132" i="1"/>
  <c r="R132" i="1"/>
  <c r="S132" i="1"/>
  <c r="Q367" i="1"/>
  <c r="R367" i="1"/>
  <c r="S367" i="1"/>
  <c r="Q205" i="1"/>
  <c r="R205" i="1"/>
  <c r="S205" i="1"/>
  <c r="R202" i="1"/>
  <c r="S202" i="1"/>
  <c r="Q202" i="1"/>
  <c r="Q347" i="1"/>
  <c r="R347" i="1"/>
  <c r="S347" i="1"/>
  <c r="Q107" i="1"/>
  <c r="R107" i="1"/>
  <c r="S107" i="1"/>
  <c r="Q216" i="1"/>
  <c r="R216" i="1"/>
  <c r="S216" i="1"/>
  <c r="Q384" i="1"/>
  <c r="R384" i="1"/>
  <c r="S384" i="1"/>
  <c r="Q121" i="1"/>
  <c r="R121" i="1"/>
  <c r="S121" i="1"/>
  <c r="Q27" i="1"/>
  <c r="R27" i="1"/>
  <c r="S27" i="1"/>
  <c r="Q368" i="1"/>
  <c r="R368" i="1"/>
  <c r="S368" i="1"/>
  <c r="Q470" i="1"/>
  <c r="R470" i="1"/>
  <c r="S470" i="1"/>
  <c r="Q52" i="1"/>
  <c r="R52" i="1"/>
  <c r="S52" i="1"/>
  <c r="R313" i="1"/>
  <c r="Q313" i="1"/>
  <c r="S313" i="1"/>
  <c r="Q79" i="1"/>
  <c r="R79" i="1"/>
  <c r="S79" i="1"/>
  <c r="S304" i="1"/>
  <c r="Q304" i="1"/>
  <c r="R304" i="1"/>
  <c r="R361" i="1"/>
  <c r="S361" i="1"/>
  <c r="Q361" i="1"/>
  <c r="R333" i="1"/>
  <c r="S333" i="1"/>
  <c r="Q333" i="1"/>
  <c r="Q220" i="1"/>
  <c r="R220" i="1"/>
  <c r="S220" i="1"/>
  <c r="Q436" i="1"/>
  <c r="R436" i="1"/>
  <c r="S436" i="1"/>
  <c r="R413" i="1"/>
  <c r="S413" i="1"/>
  <c r="Q413" i="1"/>
  <c r="Q273" i="1"/>
  <c r="R273" i="1"/>
  <c r="S273" i="1"/>
  <c r="Q340" i="1"/>
  <c r="R340" i="1"/>
  <c r="S340" i="1"/>
  <c r="Q190" i="1"/>
  <c r="R190" i="1"/>
  <c r="S190" i="1"/>
  <c r="Q203" i="1"/>
  <c r="S203" i="1"/>
  <c r="R203" i="1"/>
  <c r="Q81" i="1"/>
  <c r="R81" i="1"/>
  <c r="S81" i="1"/>
  <c r="Q183" i="1"/>
  <c r="R183" i="1"/>
  <c r="S183" i="1"/>
  <c r="R288" i="1"/>
  <c r="S288" i="1"/>
  <c r="Q288" i="1"/>
  <c r="Q428" i="1"/>
  <c r="R428" i="1"/>
  <c r="S428" i="1"/>
  <c r="Q169" i="1"/>
  <c r="R169" i="1"/>
  <c r="S169" i="1"/>
  <c r="Q399" i="1"/>
  <c r="R399" i="1"/>
  <c r="S399" i="1"/>
  <c r="Q478" i="1"/>
  <c r="R478" i="1"/>
  <c r="S478" i="1"/>
  <c r="R238" i="1"/>
  <c r="S238" i="1"/>
  <c r="Q238" i="1"/>
  <c r="Q168" i="1"/>
  <c r="R168" i="1"/>
  <c r="S168" i="1"/>
  <c r="Q372" i="1"/>
  <c r="R372" i="1"/>
  <c r="S372" i="1"/>
  <c r="Q217" i="1"/>
  <c r="R217" i="1"/>
  <c r="S217" i="1"/>
  <c r="S274" i="1"/>
  <c r="Q274" i="1"/>
  <c r="R274" i="1"/>
  <c r="R393" i="1"/>
  <c r="S393" i="1"/>
  <c r="Q393" i="1"/>
  <c r="Q106" i="1"/>
  <c r="R106" i="1"/>
  <c r="S106" i="1"/>
  <c r="Q240" i="1"/>
  <c r="R240" i="1"/>
  <c r="S240" i="1"/>
  <c r="Q383" i="1"/>
  <c r="R383" i="1"/>
  <c r="S383" i="1"/>
  <c r="Q157" i="1"/>
  <c r="R157" i="1"/>
  <c r="S157" i="1"/>
  <c r="Q279" i="1"/>
  <c r="R279" i="1"/>
  <c r="S279" i="1"/>
  <c r="R409" i="1"/>
  <c r="S409" i="1"/>
  <c r="Q409" i="1"/>
  <c r="Q471" i="1"/>
  <c r="R471" i="1"/>
  <c r="S471" i="1"/>
  <c r="S302" i="1"/>
  <c r="Q302" i="1"/>
  <c r="R302" i="1"/>
  <c r="Q403" i="1"/>
  <c r="R403" i="1"/>
  <c r="S403" i="1"/>
  <c r="Q48" i="1"/>
  <c r="R48" i="1"/>
  <c r="S48" i="1"/>
  <c r="Q88" i="1"/>
  <c r="R88" i="1"/>
  <c r="S88" i="1"/>
  <c r="Q138" i="1"/>
  <c r="R138" i="1"/>
  <c r="S138" i="1"/>
  <c r="Q426" i="1"/>
  <c r="R426" i="1"/>
  <c r="S426" i="1"/>
  <c r="Q219" i="1"/>
  <c r="R219" i="1"/>
  <c r="S219" i="1"/>
  <c r="S294" i="1"/>
  <c r="R294" i="1"/>
  <c r="Q294" i="1"/>
  <c r="Q438" i="1"/>
  <c r="R438" i="1"/>
  <c r="S438" i="1"/>
  <c r="R377" i="1"/>
  <c r="S377" i="1"/>
  <c r="Q377" i="1"/>
  <c r="Q29" i="1"/>
  <c r="R29" i="1"/>
  <c r="S29" i="1"/>
  <c r="R437" i="1"/>
  <c r="S437" i="1"/>
  <c r="Q437" i="1"/>
  <c r="R405" i="1"/>
  <c r="S405" i="1"/>
  <c r="Q405" i="1"/>
  <c r="Q232" i="1"/>
  <c r="R232" i="1"/>
  <c r="S232" i="1"/>
  <c r="Q448" i="1"/>
  <c r="R448" i="1"/>
  <c r="S448" i="1"/>
  <c r="R449" i="1"/>
  <c r="S449" i="1"/>
  <c r="Q449" i="1"/>
  <c r="R345" i="1"/>
  <c r="Q345" i="1"/>
  <c r="S345" i="1"/>
  <c r="Q412" i="1"/>
  <c r="R412" i="1"/>
  <c r="S412" i="1"/>
  <c r="Q248" i="1"/>
  <c r="R248" i="1"/>
  <c r="S248" i="1"/>
  <c r="Q235" i="1"/>
  <c r="R235" i="1"/>
  <c r="S235" i="1"/>
  <c r="Q76" i="1"/>
  <c r="R76" i="1"/>
  <c r="S76" i="1"/>
  <c r="Q192" i="1"/>
  <c r="R192" i="1"/>
  <c r="S192" i="1"/>
  <c r="Q324" i="1"/>
  <c r="R324" i="1"/>
  <c r="S324" i="1"/>
  <c r="Q427" i="1"/>
  <c r="R427" i="1"/>
  <c r="S427" i="1"/>
  <c r="Q193" i="1"/>
  <c r="R193" i="1"/>
  <c r="S193" i="1"/>
  <c r="Q299" i="1"/>
  <c r="R299" i="1"/>
  <c r="S299" i="1"/>
  <c r="S338" i="1"/>
  <c r="R338" i="1"/>
  <c r="Q338" i="1"/>
  <c r="Q442" i="1"/>
  <c r="R442" i="1"/>
  <c r="S442" i="1"/>
  <c r="Q164" i="1"/>
  <c r="R164" i="1"/>
  <c r="S164" i="1"/>
  <c r="Q408" i="1"/>
  <c r="R408" i="1"/>
  <c r="S408" i="1"/>
  <c r="Q277" i="1"/>
  <c r="R277" i="1"/>
  <c r="S277" i="1"/>
  <c r="Q320" i="1"/>
  <c r="R320" i="1"/>
  <c r="S320" i="1"/>
  <c r="Q431" i="1"/>
  <c r="R431" i="1"/>
  <c r="S431" i="1"/>
  <c r="Q140" i="1"/>
  <c r="R140" i="1"/>
  <c r="S140" i="1"/>
  <c r="Q239" i="1"/>
  <c r="R239" i="1"/>
  <c r="S239" i="1"/>
  <c r="Q382" i="1"/>
  <c r="R382" i="1"/>
  <c r="S382" i="1"/>
  <c r="Q181" i="1"/>
  <c r="R181" i="1"/>
  <c r="S181" i="1"/>
  <c r="Q411" i="1"/>
  <c r="R411" i="1"/>
  <c r="S411" i="1"/>
  <c r="R469" i="1"/>
  <c r="S469" i="1"/>
  <c r="Q469" i="1"/>
  <c r="Q68" i="1"/>
  <c r="R68" i="1"/>
  <c r="S68" i="1"/>
  <c r="Q355" i="1"/>
  <c r="R355" i="1"/>
  <c r="S355" i="1"/>
  <c r="Q54" i="1"/>
  <c r="R54" i="1"/>
  <c r="S54" i="1"/>
  <c r="Q331" i="1"/>
  <c r="R331" i="1"/>
  <c r="S331" i="1"/>
  <c r="Q410" i="1"/>
  <c r="R410" i="1"/>
  <c r="S410" i="1"/>
  <c r="Q26" i="1"/>
  <c r="R26" i="1"/>
  <c r="S26" i="1"/>
  <c r="R341" i="1"/>
  <c r="Q341" i="1"/>
  <c r="S341" i="1"/>
  <c r="R401" i="1"/>
  <c r="S401" i="1"/>
  <c r="Q401" i="1"/>
  <c r="R242" i="1"/>
  <c r="S242" i="1"/>
  <c r="Q242" i="1"/>
  <c r="Q231" i="1"/>
  <c r="R231" i="1"/>
  <c r="S231" i="1"/>
  <c r="Q50" i="1"/>
  <c r="R50" i="1"/>
  <c r="S50" i="1"/>
  <c r="Q472" i="1"/>
  <c r="R472" i="1"/>
  <c r="S472" i="1"/>
  <c r="Q243" i="1"/>
  <c r="R243" i="1"/>
  <c r="S243" i="1"/>
  <c r="Q463" i="1"/>
  <c r="R463" i="1"/>
  <c r="S463" i="1"/>
  <c r="Q16" i="1"/>
  <c r="Q275" i="1"/>
  <c r="R275" i="1"/>
  <c r="S275" i="1"/>
  <c r="Q224" i="1"/>
  <c r="R224" i="1"/>
  <c r="S224" i="1"/>
  <c r="Q323" i="1"/>
  <c r="S323" i="1"/>
  <c r="R323" i="1"/>
  <c r="Q423" i="1"/>
  <c r="R423" i="1"/>
  <c r="S423" i="1"/>
  <c r="Q229" i="1"/>
  <c r="R229" i="1"/>
  <c r="S229" i="1"/>
  <c r="R309" i="1"/>
  <c r="S309" i="1"/>
  <c r="Q309" i="1"/>
  <c r="Q71" i="1"/>
  <c r="R71" i="1"/>
  <c r="S71" i="1"/>
  <c r="Q34" i="1"/>
  <c r="R34" i="1"/>
  <c r="S34" i="1"/>
  <c r="Q204" i="1"/>
  <c r="R204" i="1"/>
  <c r="S204" i="1"/>
  <c r="Q455" i="1"/>
  <c r="R455" i="1"/>
  <c r="S455" i="1"/>
  <c r="R301" i="1"/>
  <c r="Q301" i="1"/>
  <c r="S301" i="1"/>
  <c r="Q392" i="1"/>
  <c r="R392" i="1"/>
  <c r="S392" i="1"/>
  <c r="Q479" i="1"/>
  <c r="R479" i="1"/>
  <c r="S479" i="1"/>
  <c r="Q141" i="1"/>
  <c r="R141" i="1"/>
  <c r="S141" i="1"/>
  <c r="Q236" i="1"/>
  <c r="R236" i="1"/>
  <c r="S236" i="1"/>
  <c r="R381" i="1"/>
  <c r="S381" i="1"/>
  <c r="Q381" i="1"/>
  <c r="Q241" i="1"/>
  <c r="R241" i="1"/>
  <c r="S241" i="1"/>
  <c r="R226" i="1"/>
  <c r="S226" i="1"/>
  <c r="Q226" i="1"/>
  <c r="Q62" i="1"/>
  <c r="R62" i="1"/>
  <c r="S62" i="1"/>
  <c r="Q86" i="1"/>
  <c r="R86" i="1"/>
  <c r="S86" i="1"/>
  <c r="Q113" i="1"/>
  <c r="R113" i="1"/>
  <c r="S113" i="1"/>
  <c r="Q110" i="1"/>
  <c r="R110" i="1"/>
  <c r="S110" i="1"/>
  <c r="Q143" i="1"/>
  <c r="R143" i="1"/>
  <c r="S143" i="1"/>
  <c r="Q456" i="1"/>
  <c r="R456" i="1"/>
  <c r="S456" i="1"/>
  <c r="R325" i="1"/>
  <c r="Q325" i="1"/>
  <c r="S325" i="1"/>
  <c r="Q98" i="1"/>
  <c r="R98" i="1"/>
  <c r="S98" i="1"/>
  <c r="Q149" i="1"/>
  <c r="R149" i="1"/>
  <c r="S149" i="1"/>
  <c r="Q228" i="1"/>
  <c r="R228" i="1"/>
  <c r="S228" i="1"/>
  <c r="Q126" i="1"/>
  <c r="R126" i="1"/>
  <c r="S126" i="1"/>
  <c r="S282" i="1"/>
  <c r="R282" i="1"/>
  <c r="Q282" i="1"/>
  <c r="R230" i="1"/>
  <c r="S230" i="1"/>
  <c r="Q230" i="1"/>
  <c r="Q446" i="1"/>
  <c r="R446" i="1"/>
  <c r="S446" i="1"/>
  <c r="Q117" i="1"/>
  <c r="R117" i="1"/>
  <c r="S117" i="1"/>
  <c r="Q460" i="1"/>
  <c r="R460" i="1"/>
  <c r="S460" i="1"/>
  <c r="Q150" i="1"/>
  <c r="R150" i="1"/>
  <c r="S150" i="1"/>
  <c r="Q38" i="1"/>
  <c r="R38" i="1"/>
  <c r="S38" i="1"/>
  <c r="Q458" i="1"/>
  <c r="R458" i="1"/>
  <c r="S458" i="1"/>
  <c r="Q189" i="1"/>
  <c r="R189" i="1"/>
  <c r="S189" i="1"/>
  <c r="Q18" i="1"/>
  <c r="R18" i="1"/>
  <c r="S18" i="1"/>
  <c r="Q162" i="1"/>
  <c r="R162" i="1"/>
  <c r="S162" i="1"/>
  <c r="S306" i="1"/>
  <c r="Q306" i="1"/>
  <c r="R306" i="1"/>
  <c r="Q450" i="1"/>
  <c r="R450" i="1"/>
  <c r="S450" i="1"/>
  <c r="S278" i="1"/>
  <c r="Q278" i="1"/>
  <c r="R278" i="1"/>
  <c r="R425" i="1"/>
  <c r="S425" i="1"/>
  <c r="Q425" i="1"/>
  <c r="Q247" i="1"/>
  <c r="R247" i="1"/>
  <c r="S247" i="1"/>
  <c r="Q53" i="1"/>
  <c r="R53" i="1"/>
  <c r="S53" i="1"/>
  <c r="R473" i="1"/>
  <c r="S473" i="1"/>
  <c r="Q473" i="1"/>
  <c r="Q244" i="1"/>
  <c r="R244" i="1"/>
  <c r="S244" i="1"/>
  <c r="Q41" i="1"/>
  <c r="R41" i="1"/>
  <c r="S41" i="1"/>
  <c r="Q259" i="1"/>
  <c r="R259" i="1"/>
  <c r="S259" i="1"/>
  <c r="R417" i="1"/>
  <c r="S417" i="1"/>
  <c r="Q417" i="1"/>
  <c r="S286" i="1"/>
  <c r="Q286" i="1"/>
  <c r="R286" i="1"/>
  <c r="Q84" i="1"/>
  <c r="R84" i="1"/>
  <c r="S84" i="1"/>
  <c r="Q30" i="1"/>
  <c r="R30" i="1"/>
  <c r="S30" i="1"/>
  <c r="Q174" i="1"/>
  <c r="R174" i="1"/>
  <c r="S174" i="1"/>
  <c r="S318" i="1"/>
  <c r="Q318" i="1"/>
  <c r="R318" i="1"/>
  <c r="Q462" i="1"/>
  <c r="R462" i="1"/>
  <c r="S462" i="1"/>
  <c r="Q74" i="1"/>
  <c r="R74" i="1"/>
  <c r="S74" i="1"/>
  <c r="S290" i="1"/>
  <c r="Q290" i="1"/>
  <c r="R290" i="1"/>
  <c r="Q17" i="1"/>
  <c r="R17" i="1"/>
  <c r="S17" i="1"/>
  <c r="R461" i="1"/>
  <c r="S461" i="1"/>
  <c r="Q461" i="1"/>
  <c r="R319" i="1"/>
  <c r="S319" i="1"/>
  <c r="Q319" i="1"/>
  <c r="Q291" i="1"/>
  <c r="R291" i="1"/>
  <c r="S291" i="1"/>
  <c r="Q89" i="1"/>
  <c r="R89" i="1"/>
  <c r="S89" i="1"/>
  <c r="Q187" i="1"/>
  <c r="R187" i="1"/>
  <c r="S187" i="1"/>
  <c r="Q40" i="1"/>
  <c r="R40" i="1"/>
  <c r="S40" i="1"/>
  <c r="Q256" i="1"/>
  <c r="R256" i="1"/>
  <c r="S256" i="1"/>
  <c r="Q77" i="1"/>
  <c r="R77" i="1"/>
  <c r="S77" i="1"/>
  <c r="Q475" i="1"/>
  <c r="R475" i="1"/>
  <c r="S475" i="1"/>
  <c r="R477" i="1"/>
  <c r="S477" i="1"/>
  <c r="Q477" i="1"/>
  <c r="Q196" i="1"/>
  <c r="R196" i="1"/>
  <c r="S196" i="1"/>
  <c r="S346" i="1"/>
  <c r="Q346" i="1"/>
  <c r="R346" i="1"/>
  <c r="R321" i="1"/>
  <c r="Q321" i="1"/>
  <c r="S321" i="1"/>
  <c r="Q111" i="1"/>
  <c r="R111" i="1"/>
  <c r="S111" i="1"/>
  <c r="Q223" i="1"/>
  <c r="R223" i="1"/>
  <c r="S223" i="1"/>
  <c r="S322" i="1"/>
  <c r="Q322" i="1"/>
  <c r="R322" i="1"/>
  <c r="R429" i="1"/>
  <c r="S429" i="1"/>
  <c r="Q429" i="1"/>
  <c r="Q253" i="1"/>
  <c r="R253" i="1"/>
  <c r="S253" i="1"/>
  <c r="Q327" i="1"/>
  <c r="R327" i="1"/>
  <c r="S327" i="1"/>
  <c r="Q119" i="1"/>
  <c r="R119" i="1"/>
  <c r="S119" i="1"/>
  <c r="Q32" i="1"/>
  <c r="R32" i="1"/>
  <c r="S32" i="1"/>
  <c r="R252" i="1"/>
  <c r="S252" i="1"/>
  <c r="Q252" i="1"/>
  <c r="Q454" i="1"/>
  <c r="R454" i="1"/>
  <c r="S454" i="1"/>
  <c r="R373" i="1"/>
  <c r="S373" i="1"/>
  <c r="Q373" i="1"/>
  <c r="Q430" i="1"/>
  <c r="R430" i="1"/>
  <c r="S430" i="1"/>
  <c r="Q339" i="1"/>
  <c r="R339" i="1"/>
  <c r="S339" i="1"/>
  <c r="Q139" i="1"/>
  <c r="R139" i="1"/>
  <c r="S139" i="1"/>
  <c r="Q271" i="1"/>
  <c r="R271" i="1"/>
  <c r="S271" i="1"/>
  <c r="Q380" i="1"/>
  <c r="R380" i="1"/>
  <c r="S380" i="1"/>
  <c r="Q289" i="1"/>
  <c r="R289" i="1"/>
  <c r="S289" i="1"/>
  <c r="S298" i="1"/>
  <c r="Q298" i="1"/>
  <c r="R298" i="1"/>
  <c r="Q482" i="1"/>
  <c r="R482" i="1"/>
  <c r="S482" i="1"/>
  <c r="L25" i="1"/>
  <c r="L26" i="1" l="1"/>
  <c r="L27" i="1"/>
  <c r="L28" i="1" l="1"/>
  <c r="L30" i="1" s="1"/>
  <c r="F31" i="1"/>
  <c r="L32" i="1" l="1"/>
</calcChain>
</file>

<file path=xl/sharedStrings.xml><?xml version="1.0" encoding="utf-8"?>
<sst xmlns="http://schemas.openxmlformats.org/spreadsheetml/2006/main" count="122" uniqueCount="88">
  <si>
    <t>Thankyou Visit Us Again</t>
  </si>
  <si>
    <t>Kanhaiya &amp; Son's Jewellers</t>
  </si>
  <si>
    <t>Receiver's Signature</t>
  </si>
  <si>
    <t>Authorised Signature</t>
  </si>
  <si>
    <t>Customer's Name :</t>
  </si>
  <si>
    <t xml:space="preserve">Date : </t>
  </si>
  <si>
    <t xml:space="preserve">        Invoice No.</t>
  </si>
  <si>
    <t xml:space="preserve"> Customer's Address :</t>
  </si>
  <si>
    <t xml:space="preserve"> Mobile Number :</t>
  </si>
  <si>
    <t>Sl.
No.</t>
  </si>
  <si>
    <t>Item Description</t>
  </si>
  <si>
    <t>Type</t>
  </si>
  <si>
    <t>Material</t>
  </si>
  <si>
    <t>HSN</t>
  </si>
  <si>
    <t>Gross Wt.
(in gram)</t>
  </si>
  <si>
    <t>Net Wt.
(in gram)</t>
  </si>
  <si>
    <t>Making Cost
(per gram)</t>
  </si>
  <si>
    <t>Amount</t>
  </si>
  <si>
    <t>Rate
(per gram)</t>
  </si>
  <si>
    <t xml:space="preserve">Total  </t>
  </si>
  <si>
    <t>Manufacturer &amp; Retailer of Gold, Silver &amp; Ornaments</t>
  </si>
  <si>
    <t>Near Kali Bari Road, Behind Daily Market, Hazaribag (Jharkhand)</t>
  </si>
  <si>
    <t xml:space="preserve">           Amount in words           :</t>
  </si>
  <si>
    <t>Prop. Kanhaiya Lal Soni</t>
  </si>
  <si>
    <t>Akash Kumar Soni</t>
  </si>
  <si>
    <t>GSTIN : 20BIEPS3655N1ZZ</t>
  </si>
  <si>
    <t>Phone No. +91 79790 88616, +91 91556 44519</t>
  </si>
  <si>
    <t>TAX INVOICE</t>
  </si>
  <si>
    <t xml:space="preserve">           Amount Paid Against    :</t>
  </si>
  <si>
    <t>Dues :</t>
  </si>
  <si>
    <t xml:space="preserve">% CGST </t>
  </si>
  <si>
    <t xml:space="preserve">% SGST </t>
  </si>
  <si>
    <t xml:space="preserve">Total After Tax </t>
  </si>
  <si>
    <t xml:space="preserve">Discount </t>
  </si>
  <si>
    <r>
      <rPr>
        <b/>
        <sz val="11"/>
        <color theme="1"/>
        <rFont val="Calisto MT"/>
        <family val="1"/>
      </rPr>
      <t>Note to customers:</t>
    </r>
    <r>
      <rPr>
        <sz val="11"/>
        <color theme="1"/>
        <rFont val="Calisto MT"/>
        <family val="1"/>
      </rPr>
      <t xml:space="preserve">
Goods cannot be returned or exchanged without this invoice.
In case of exchange/return, 'making cost' will be deducted from
total cost.
</t>
    </r>
  </si>
  <si>
    <r>
      <t xml:space="preserve">Grand Total
</t>
    </r>
    <r>
      <rPr>
        <sz val="10"/>
        <color theme="1"/>
        <rFont val="Calisto MT"/>
        <family val="1"/>
      </rPr>
      <t>(Round Off)</t>
    </r>
  </si>
  <si>
    <t>Payment Option</t>
  </si>
  <si>
    <t>UPI</t>
  </si>
  <si>
    <t>Cash</t>
  </si>
  <si>
    <t>Card</t>
  </si>
  <si>
    <t>Cheque</t>
  </si>
  <si>
    <t>PhonePe</t>
  </si>
  <si>
    <t>FFSET(ListSheet!$B$3,1,,COUNTA(ListSheet!$B$3:$B$20)-1,1)</t>
  </si>
  <si>
    <t>Invoice Load</t>
  </si>
  <si>
    <t>Next Inv. No.</t>
  </si>
  <si>
    <t>Customer Name</t>
  </si>
  <si>
    <t>Phone Number</t>
  </si>
  <si>
    <t>Address</t>
  </si>
  <si>
    <t>Date</t>
  </si>
  <si>
    <t>Inv. No.</t>
  </si>
  <si>
    <t>CGST %</t>
  </si>
  <si>
    <t>SGST %</t>
  </si>
  <si>
    <t>Discount</t>
  </si>
  <si>
    <t>Dues</t>
  </si>
  <si>
    <t>Total Amount</t>
  </si>
  <si>
    <t>Paid</t>
  </si>
  <si>
    <t>Db Row</t>
  </si>
  <si>
    <t>RowInvoiceItem</t>
  </si>
  <si>
    <t>Row Invoice sheet</t>
  </si>
  <si>
    <t>New Invoice</t>
  </si>
  <si>
    <t>Next Item Row</t>
  </si>
  <si>
    <t>श्री गणेशाय नमः</t>
  </si>
  <si>
    <t>Invice Row</t>
  </si>
  <si>
    <t>OFFSET(CustomerDetails!$A$1,1,,COUNTA(CustomerDetails!$A$1:$A$1:$A$999)-1,1)</t>
  </si>
  <si>
    <t>Payment Mode</t>
  </si>
  <si>
    <t>Criteria</t>
  </si>
  <si>
    <t/>
  </si>
  <si>
    <t>SEARCH FOR NAME</t>
  </si>
  <si>
    <t>Invoice No.</t>
  </si>
  <si>
    <t>Helper1</t>
  </si>
  <si>
    <t>Helper2</t>
  </si>
  <si>
    <t>Helper3</t>
  </si>
  <si>
    <t>Cust. Name</t>
  </si>
  <si>
    <t>Rahul Soni</t>
  </si>
  <si>
    <t>Pelawal</t>
  </si>
  <si>
    <t>akash soni</t>
  </si>
  <si>
    <t>kali</t>
  </si>
  <si>
    <t>87787jhu</t>
  </si>
  <si>
    <t>Roshan Soni</t>
  </si>
  <si>
    <t>pelawal</t>
  </si>
  <si>
    <t>chain</t>
  </si>
  <si>
    <t>hm</t>
  </si>
  <si>
    <t>gold</t>
  </si>
  <si>
    <t>Kiran Soni</t>
  </si>
  <si>
    <t>Pelawal Hazaribag</t>
  </si>
  <si>
    <t>Necklace</t>
  </si>
  <si>
    <t>HM</t>
  </si>
  <si>
    <t>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</si>
</sst>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%"/>
    <numFmt numFmtId="165" formatCode="_ [$₹-4009]\ * #,##0.00_ ;_ [$₹-4009]\ * \-#,##0.00_ ;_ [$₹-4009]\ * &quot;-&quot;??_ ;_ @_ 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sto MT"/>
      <family val="1"/>
    </font>
    <font>
      <sz val="11"/>
      <color theme="1"/>
      <name val="Calisto MT"/>
      <family val="1"/>
    </font>
    <font>
      <b/>
      <sz val="14"/>
      <color theme="1"/>
      <name val="Calisto MT"/>
      <family val="1"/>
    </font>
    <font>
      <sz val="10"/>
      <color theme="1"/>
      <name val="Calisto MT"/>
      <family val="1"/>
    </font>
    <font>
      <sz val="9"/>
      <color theme="1"/>
      <name val="Calisto MT"/>
      <family val="1"/>
    </font>
    <font>
      <sz val="14"/>
      <color theme="1"/>
      <name val="Calisto MT"/>
      <family val="1"/>
    </font>
    <font>
      <b/>
      <u/>
      <sz val="11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sz val="26"/>
      <color theme="1"/>
      <name val="Britannic Bold"/>
      <family val="2"/>
    </font>
    <font>
      <b/>
      <sz val="11"/>
      <color theme="1"/>
      <name val="Calisto MT"/>
      <family val="1"/>
    </font>
    <font>
      <sz val="11"/>
      <name val="Calibri"/>
      <family val="2"/>
      <scheme val="minor"/>
    </font>
    <font>
      <b/>
      <sz val="9"/>
      <color theme="1"/>
      <name val="Calisto MT"/>
      <family val="1"/>
    </font>
    <font>
      <b/>
      <sz val="10"/>
      <color theme="1"/>
      <name val="Calisto MT"/>
      <family val="1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2060"/>
      <name val="Arial Narrow"/>
      <family val="2"/>
    </font>
    <font>
      <sz val="11"/>
      <color theme="8" tint="0.3999755851924192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0">
    <xf numFmtId="0" fontId="0" fillId="0" borderId="0" xfId="0"/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0" fillId="7" borderId="15" xfId="0" applyFill="1" applyBorder="1" applyAlignment="1">
      <alignment vertical="center"/>
    </xf>
    <xf numFmtId="0" fontId="0" fillId="8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3" borderId="0" xfId="0" applyFill="1" applyAlignment="1"/>
    <xf numFmtId="0" fontId="0" fillId="0" borderId="0" xfId="0" applyAlignment="1"/>
    <xf numFmtId="0" fontId="0" fillId="0" borderId="0" xfId="0" applyBorder="1" applyAlignment="1"/>
    <xf numFmtId="0" fontId="0" fillId="7" borderId="13" xfId="0" applyFill="1" applyBorder="1" applyAlignment="1">
      <alignment horizontal="center" vertical="center"/>
    </xf>
    <xf numFmtId="0" fontId="8" fillId="5" borderId="8" xfId="0" applyFont="1" applyFill="1" applyBorder="1" applyAlignment="1">
      <alignment vertical="center"/>
    </xf>
    <xf numFmtId="0" fontId="8" fillId="6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9" xfId="0" applyFont="1" applyFill="1" applyBorder="1" applyAlignment="1">
      <alignment vertical="center"/>
    </xf>
    <xf numFmtId="0" fontId="8" fillId="7" borderId="21" xfId="0" applyFont="1" applyFill="1" applyBorder="1" applyAlignment="1">
      <alignment vertical="center"/>
    </xf>
    <xf numFmtId="0" fontId="8" fillId="5" borderId="8" xfId="0" applyFont="1" applyFill="1" applyBorder="1" applyAlignment="1">
      <alignment horizontal="left" vertical="center"/>
    </xf>
    <xf numFmtId="0" fontId="8" fillId="6" borderId="0" xfId="0" applyFont="1" applyFill="1" applyBorder="1" applyAlignment="1"/>
    <xf numFmtId="14" fontId="8" fillId="6" borderId="0" xfId="0" applyNumberFormat="1" applyFont="1" applyFill="1" applyBorder="1" applyAlignment="1">
      <alignment horizontal="left"/>
    </xf>
    <xf numFmtId="0" fontId="8" fillId="6" borderId="7" xfId="0" applyFont="1" applyFill="1" applyBorder="1" applyAlignment="1"/>
    <xf numFmtId="0" fontId="11" fillId="7" borderId="23" xfId="0" applyFont="1" applyFill="1" applyBorder="1" applyAlignment="1">
      <alignment horizontal="center" vertical="center" wrapText="1"/>
    </xf>
    <xf numFmtId="0" fontId="8" fillId="7" borderId="24" xfId="0" applyFont="1" applyFill="1" applyBorder="1" applyAlignment="1">
      <alignment horizontal="center" vertical="center"/>
    </xf>
    <xf numFmtId="0" fontId="10" fillId="7" borderId="24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 wrapText="1"/>
    </xf>
    <xf numFmtId="0" fontId="10" fillId="7" borderId="24" xfId="0" applyFont="1" applyFill="1" applyBorder="1" applyAlignment="1">
      <alignment horizontal="center" vertical="center" wrapText="1"/>
    </xf>
    <xf numFmtId="0" fontId="8" fillId="7" borderId="25" xfId="0" applyFont="1" applyFill="1" applyBorder="1" applyAlignment="1">
      <alignment horizontal="center" vertical="center"/>
    </xf>
    <xf numFmtId="0" fontId="0" fillId="12" borderId="0" xfId="0" applyFill="1" applyAlignment="1">
      <alignment vertical="center"/>
    </xf>
    <xf numFmtId="165" fontId="8" fillId="7" borderId="11" xfId="0" applyNumberFormat="1" applyFont="1" applyFill="1" applyBorder="1" applyAlignment="1">
      <alignment vertical="center"/>
    </xf>
    <xf numFmtId="165" fontId="8" fillId="7" borderId="9" xfId="0" applyNumberFormat="1" applyFont="1" applyFill="1" applyBorder="1" applyAlignment="1">
      <alignment vertical="center"/>
    </xf>
    <xf numFmtId="11" fontId="8" fillId="7" borderId="22" xfId="1" applyNumberFormat="1" applyFont="1" applyFill="1" applyBorder="1" applyAlignment="1">
      <alignment horizontal="right" vertical="center"/>
    </xf>
    <xf numFmtId="164" fontId="8" fillId="7" borderId="22" xfId="1" applyNumberFormat="1" applyFont="1" applyFill="1" applyBorder="1" applyAlignment="1">
      <alignment horizontal="right" vertical="center"/>
    </xf>
    <xf numFmtId="0" fontId="0" fillId="13" borderId="0" xfId="0" applyFill="1"/>
    <xf numFmtId="0" fontId="0" fillId="14" borderId="0" xfId="0" applyFill="1" applyAlignment="1">
      <alignment vertical="center"/>
    </xf>
    <xf numFmtId="0" fontId="0" fillId="14" borderId="0" xfId="0" applyFill="1" applyAlignment="1"/>
    <xf numFmtId="0" fontId="17" fillId="2" borderId="0" xfId="0" applyFont="1" applyFill="1" applyAlignment="1">
      <alignment vertical="center"/>
    </xf>
    <xf numFmtId="0" fontId="17" fillId="2" borderId="26" xfId="0" applyFont="1" applyFill="1" applyBorder="1" applyAlignment="1">
      <alignment vertical="center"/>
    </xf>
    <xf numFmtId="0" fontId="17" fillId="2" borderId="0" xfId="0" applyFont="1" applyFill="1" applyAlignment="1"/>
    <xf numFmtId="0" fontId="0" fillId="0" borderId="0" xfId="0" applyAlignment="1">
      <alignment horizontal="center"/>
    </xf>
    <xf numFmtId="0" fontId="3" fillId="13" borderId="26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3" xfId="0" applyFill="1" applyBorder="1" applyAlignment="1">
      <alignment horizontal="center"/>
    </xf>
    <xf numFmtId="0" fontId="0" fillId="15" borderId="9" xfId="0" applyFill="1" applyBorder="1" applyAlignment="1">
      <alignment horizontal="center"/>
    </xf>
    <xf numFmtId="22" fontId="0" fillId="15" borderId="27" xfId="0" applyNumberFormat="1" applyFill="1" applyBorder="1" applyAlignment="1">
      <alignment horizontal="center"/>
    </xf>
    <xf numFmtId="0" fontId="16" fillId="13" borderId="24" xfId="0" applyFont="1" applyFill="1" applyBorder="1" applyAlignment="1">
      <alignment horizontal="center" vertical="center"/>
    </xf>
    <xf numFmtId="0" fontId="19" fillId="13" borderId="24" xfId="0" applyFont="1" applyFill="1" applyBorder="1" applyAlignment="1">
      <alignment horizontal="center" vertical="center"/>
    </xf>
    <xf numFmtId="0" fontId="19" fillId="13" borderId="24" xfId="0" applyFont="1" applyFill="1" applyBorder="1" applyAlignment="1">
      <alignment horizontal="center" vertical="center" wrapText="1"/>
    </xf>
    <xf numFmtId="0" fontId="16" fillId="13" borderId="24" xfId="0" applyFont="1" applyFill="1" applyBorder="1" applyAlignment="1">
      <alignment horizontal="center" vertical="center" wrapText="1"/>
    </xf>
    <xf numFmtId="0" fontId="16" fillId="13" borderId="25" xfId="0" applyFont="1" applyFill="1" applyBorder="1" applyAlignment="1">
      <alignment horizontal="center" vertical="center"/>
    </xf>
    <xf numFmtId="0" fontId="3" fillId="13" borderId="22" xfId="0" applyFont="1" applyFill="1" applyBorder="1" applyAlignment="1">
      <alignment horizontal="center" vertical="center"/>
    </xf>
    <xf numFmtId="22" fontId="0" fillId="15" borderId="9" xfId="0" applyNumberFormat="1" applyFill="1" applyBorder="1" applyAlignment="1">
      <alignment horizontal="center"/>
    </xf>
    <xf numFmtId="0" fontId="0" fillId="15" borderId="3" xfId="0" applyFill="1" applyBorder="1" applyAlignment="1">
      <alignment horizontal="center" wrapText="1"/>
    </xf>
    <xf numFmtId="0" fontId="0" fillId="15" borderId="9" xfId="0" applyFill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3" fillId="13" borderId="5" xfId="0" applyFont="1" applyFill="1" applyBorder="1" applyAlignment="1">
      <alignment horizontal="center" vertical="center"/>
    </xf>
    <xf numFmtId="0" fontId="18" fillId="13" borderId="28" xfId="0" applyFont="1" applyFill="1" applyBorder="1" applyAlignment="1">
      <alignment horizontal="center" vertical="center" wrapText="1"/>
    </xf>
    <xf numFmtId="165" fontId="0" fillId="7" borderId="13" xfId="0" applyNumberFormat="1" applyFill="1" applyBorder="1" applyAlignment="1">
      <alignment vertical="center"/>
    </xf>
    <xf numFmtId="22" fontId="0" fillId="0" borderId="9" xfId="0" applyNumberFormat="1" applyBorder="1" applyAlignment="1">
      <alignment horizontal="center"/>
    </xf>
    <xf numFmtId="165" fontId="3" fillId="13" borderId="26" xfId="0" applyNumberFormat="1" applyFont="1" applyFill="1" applyBorder="1" applyAlignment="1">
      <alignment horizontal="center" vertical="center"/>
    </xf>
    <xf numFmtId="165" fontId="0" fillId="15" borderId="27" xfId="0" applyNumberFormat="1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15" borderId="9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12" borderId="0" xfId="0" applyFill="1" applyBorder="1" applyAlignment="1">
      <alignment vertical="center"/>
    </xf>
    <xf numFmtId="0" fontId="0" fillId="12" borderId="4" xfId="0" applyFill="1" applyBorder="1" applyAlignment="1">
      <alignment vertical="center"/>
    </xf>
    <xf numFmtId="0" fontId="21" fillId="13" borderId="26" xfId="0" applyFont="1" applyFill="1" applyBorder="1" applyAlignment="1">
      <alignment vertical="center"/>
    </xf>
    <xf numFmtId="0" fontId="23" fillId="2" borderId="0" xfId="0" applyFont="1" applyFill="1" applyAlignment="1">
      <alignment vertical="top"/>
    </xf>
    <xf numFmtId="0" fontId="3" fillId="17" borderId="26" xfId="0" applyFont="1" applyFill="1" applyBorder="1" applyAlignment="1">
      <alignment horizontal="center" vertical="center"/>
    </xf>
    <xf numFmtId="0" fontId="0" fillId="17" borderId="26" xfId="0" applyFill="1" applyBorder="1" applyAlignment="1">
      <alignment horizontal="center"/>
    </xf>
    <xf numFmtId="0" fontId="3" fillId="13" borderId="8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0" fillId="17" borderId="2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vertical="center"/>
    </xf>
    <xf numFmtId="0" fontId="0" fillId="2" borderId="0" xfId="0" applyFill="1" applyAlignment="1"/>
    <xf numFmtId="0" fontId="0" fillId="0" borderId="26" xfId="0" applyBorder="1" applyAlignment="1">
      <alignment horizontal="center" vertical="center"/>
    </xf>
    <xf numFmtId="0" fontId="17" fillId="2" borderId="0" xfId="0" applyFont="1" applyFill="1" applyBorder="1" applyAlignment="1">
      <alignment vertical="center"/>
    </xf>
    <xf numFmtId="0" fontId="17" fillId="2" borderId="0" xfId="0" applyFont="1" applyFill="1" applyBorder="1" applyAlignment="1"/>
    <xf numFmtId="0" fontId="22" fillId="12" borderId="29" xfId="0" applyFont="1" applyFill="1" applyBorder="1" applyAlignment="1">
      <alignment horizontal="center" vertical="center"/>
    </xf>
    <xf numFmtId="0" fontId="22" fillId="12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/>
    </xf>
    <xf numFmtId="0" fontId="2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0" fillId="4" borderId="0" xfId="0" applyFill="1" applyAlignment="1">
      <alignment horizontal="center"/>
    </xf>
    <xf numFmtId="165" fontId="8" fillId="7" borderId="21" xfId="0" applyNumberFormat="1" applyFont="1" applyFill="1" applyBorder="1" applyAlignment="1">
      <alignment horizontal="center" vertical="center"/>
    </xf>
    <xf numFmtId="165" fontId="8" fillId="7" borderId="18" xfId="0" applyNumberFormat="1" applyFont="1" applyFill="1" applyBorder="1" applyAlignment="1">
      <alignment horizontal="center" vertical="center"/>
    </xf>
    <xf numFmtId="165" fontId="0" fillId="7" borderId="13" xfId="0" applyNumberFormat="1" applyFill="1" applyBorder="1" applyAlignment="1">
      <alignment horizontal="center" vertical="center"/>
    </xf>
    <xf numFmtId="165" fontId="0" fillId="7" borderId="16" xfId="0" applyNumberFormat="1" applyFill="1" applyBorder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0" fillId="7" borderId="8" xfId="0" applyFill="1" applyBorder="1" applyAlignment="1">
      <alignment horizontal="left" vertical="center"/>
    </xf>
    <xf numFmtId="0" fontId="0" fillId="7" borderId="18" xfId="0" applyFill="1" applyBorder="1" applyAlignment="1">
      <alignment horizontal="left" vertical="center"/>
    </xf>
    <xf numFmtId="0" fontId="0" fillId="7" borderId="17" xfId="0" applyFill="1" applyBorder="1" applyAlignment="1">
      <alignment horizontal="left" vertical="center"/>
    </xf>
    <xf numFmtId="0" fontId="0" fillId="7" borderId="12" xfId="0" applyFill="1" applyBorder="1" applyAlignment="1">
      <alignment horizontal="left" vertical="center"/>
    </xf>
    <xf numFmtId="0" fontId="0" fillId="7" borderId="13" xfId="0" applyFill="1" applyBorder="1" applyAlignment="1">
      <alignment horizontal="left" vertical="center"/>
    </xf>
    <xf numFmtId="0" fontId="0" fillId="7" borderId="14" xfId="0" applyFill="1" applyBorder="1" applyAlignment="1">
      <alignment horizontal="left" vertical="center"/>
    </xf>
    <xf numFmtId="0" fontId="7" fillId="5" borderId="8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left" vertical="center"/>
    </xf>
    <xf numFmtId="0" fontId="8" fillId="5" borderId="8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left"/>
    </xf>
    <xf numFmtId="0" fontId="8" fillId="6" borderId="1" xfId="0" applyFont="1" applyFill="1" applyBorder="1" applyAlignment="1">
      <alignment horizontal="left"/>
    </xf>
    <xf numFmtId="0" fontId="3" fillId="9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13" fillId="4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12" fillId="7" borderId="21" xfId="0" applyFont="1" applyFill="1" applyBorder="1" applyAlignment="1">
      <alignment horizontal="right" vertical="center"/>
    </xf>
    <xf numFmtId="0" fontId="12" fillId="7" borderId="22" xfId="0" applyFont="1" applyFill="1" applyBorder="1" applyAlignment="1">
      <alignment horizontal="right" vertical="center"/>
    </xf>
    <xf numFmtId="0" fontId="8" fillId="7" borderId="21" xfId="0" applyFont="1" applyFill="1" applyBorder="1" applyAlignment="1">
      <alignment horizontal="right" vertical="center"/>
    </xf>
    <xf numFmtId="0" fontId="8" fillId="7" borderId="22" xfId="0" applyFont="1" applyFill="1" applyBorder="1" applyAlignment="1">
      <alignment horizontal="right" vertical="center"/>
    </xf>
    <xf numFmtId="0" fontId="8" fillId="6" borderId="0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center"/>
    </xf>
    <xf numFmtId="0" fontId="8" fillId="7" borderId="19" xfId="0" applyFont="1" applyFill="1" applyBorder="1" applyAlignment="1">
      <alignment horizontal="left" vertical="top" wrapText="1"/>
    </xf>
    <xf numFmtId="0" fontId="8" fillId="7" borderId="1" xfId="0" applyFont="1" applyFill="1" applyBorder="1" applyAlignment="1">
      <alignment horizontal="left" vertical="top" wrapText="1"/>
    </xf>
    <xf numFmtId="0" fontId="8" fillId="7" borderId="2" xfId="0" applyFont="1" applyFill="1" applyBorder="1" applyAlignment="1">
      <alignment horizontal="left" vertical="top" wrapText="1"/>
    </xf>
    <xf numFmtId="0" fontId="8" fillId="7" borderId="6" xfId="0" applyFont="1" applyFill="1" applyBorder="1" applyAlignment="1">
      <alignment horizontal="left" vertical="top" wrapText="1"/>
    </xf>
    <xf numFmtId="0" fontId="8" fillId="7" borderId="0" xfId="0" applyFont="1" applyFill="1" applyBorder="1" applyAlignment="1">
      <alignment horizontal="left" vertical="top" wrapText="1"/>
    </xf>
    <xf numFmtId="0" fontId="8" fillId="7" borderId="3" xfId="0" applyFont="1" applyFill="1" applyBorder="1" applyAlignment="1">
      <alignment horizontal="left" vertical="top" wrapText="1"/>
    </xf>
    <xf numFmtId="0" fontId="8" fillId="7" borderId="20" xfId="0" applyFont="1" applyFill="1" applyBorder="1" applyAlignment="1">
      <alignment horizontal="left" vertical="top" wrapText="1"/>
    </xf>
    <xf numFmtId="0" fontId="8" fillId="7" borderId="4" xfId="0" applyFont="1" applyFill="1" applyBorder="1" applyAlignment="1">
      <alignment horizontal="left" vertical="top" wrapText="1"/>
    </xf>
    <xf numFmtId="0" fontId="8" fillId="7" borderId="5" xfId="0" applyFont="1" applyFill="1" applyBorder="1" applyAlignment="1">
      <alignment horizontal="left" vertical="top" wrapText="1"/>
    </xf>
    <xf numFmtId="0" fontId="9" fillId="7" borderId="21" xfId="0" applyFont="1" applyFill="1" applyBorder="1" applyAlignment="1">
      <alignment horizontal="center" vertical="center" wrapText="1"/>
    </xf>
    <xf numFmtId="0" fontId="8" fillId="7" borderId="22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85615</xdr:colOff>
      <xdr:row>1</xdr:row>
      <xdr:rowOff>138505</xdr:rowOff>
    </xdr:from>
    <xdr:to>
      <xdr:col>16</xdr:col>
      <xdr:colOff>270415</xdr:colOff>
      <xdr:row>2</xdr:row>
      <xdr:rowOff>32199</xdr:rowOff>
    </xdr:to>
    <xdr:grpSp>
      <xdr:nvGrpSpPr>
        <xdr:cNvPr id="2" name="SaveInvBt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9955756" y="362623"/>
          <a:ext cx="1404000" cy="324000"/>
          <a:chOff x="6895696" y="166650"/>
          <a:chExt cx="1112896" cy="248990"/>
        </a:xfr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bliqueTopLeft"/>
          <a:lightRig rig="threePt" dir="t"/>
        </a:scene3d>
      </xdr:grpSpPr>
      <xdr:sp macro="[0]!Invoice_SaveUpdate" textlink="">
        <xdr:nvSpPr>
          <xdr:cNvPr id="3" name="Rounded Rectangle 1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895696" y="169409"/>
            <a:ext cx="1112896" cy="246231"/>
          </a:xfrm>
          <a:prstGeom prst="roundRect">
            <a:avLst/>
          </a:prstGeom>
          <a:grpFill/>
          <a:ln>
            <a:solidFill>
              <a:schemeClr val="accent1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>
            <a:sp3d prstMaterial="translucentPowder">
              <a:extrusionClr>
                <a:schemeClr val="bg2"/>
              </a:extrusionClr>
            </a:sp3d>
          </a:bodyPr>
          <a:lstStyle/>
          <a:p>
            <a:pPr algn="r"/>
            <a:r>
              <a:rPr lang="en-US" sz="1100">
                <a:effectLst/>
              </a:rPr>
              <a:t>Save</a:t>
            </a:r>
            <a:r>
              <a:rPr lang="en-US" sz="1100" baseline="0">
                <a:effectLst/>
              </a:rPr>
              <a:t>/Update</a:t>
            </a:r>
          </a:p>
          <a:p>
            <a:pPr algn="r"/>
            <a:endParaRPr lang="en-US" sz="1100">
              <a:effectLst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38167" y="211875"/>
            <a:ext cx="182880" cy="182223"/>
          </a:xfrm>
          <a:prstGeom prst="rect">
            <a:avLst/>
          </a:prstGeom>
          <a:grpFill/>
          <a:ln>
            <a:solidFill>
              <a:schemeClr val="accent1"/>
            </a:solidFill>
          </a:ln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97717" y="166650"/>
            <a:ext cx="146304" cy="146304"/>
          </a:xfrm>
          <a:prstGeom prst="rect">
            <a:avLst/>
          </a:prstGeom>
          <a:grpFill/>
          <a:ln>
            <a:solidFill>
              <a:schemeClr val="accent1"/>
            </a:solidFill>
          </a:ln>
        </xdr:spPr>
      </xdr:pic>
    </xdr:grpSp>
    <xdr:clientData/>
  </xdr:twoCellAnchor>
  <xdr:twoCellAnchor>
    <xdr:from>
      <xdr:col>14</xdr:col>
      <xdr:colOff>102195</xdr:colOff>
      <xdr:row>3</xdr:row>
      <xdr:rowOff>43031</xdr:rowOff>
    </xdr:from>
    <xdr:to>
      <xdr:col>16</xdr:col>
      <xdr:colOff>286995</xdr:colOff>
      <xdr:row>4</xdr:row>
      <xdr:rowOff>142913</xdr:rowOff>
    </xdr:to>
    <xdr:grpSp>
      <xdr:nvGrpSpPr>
        <xdr:cNvPr id="6" name="AddNew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9972336" y="876749"/>
          <a:ext cx="1404000" cy="323999"/>
          <a:chOff x="6888217" y="580368"/>
          <a:chExt cx="1112896" cy="246888"/>
        </a:xfr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bliqueTopLeft"/>
          <a:lightRig rig="threePt" dir="t"/>
        </a:scene3d>
      </xdr:grpSpPr>
      <xdr:sp macro="[0]!Invoice_New" textlink="">
        <xdr:nvSpPr>
          <xdr:cNvPr id="7" name="Rounded Rectangle 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6888217" y="580368"/>
            <a:ext cx="1112896" cy="246888"/>
          </a:xfrm>
          <a:prstGeom prst="roundRect">
            <a:avLst/>
          </a:prstGeom>
          <a:grpFill/>
          <a:ln>
            <a:solidFill>
              <a:schemeClr val="accent1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>
            <a:sp3d prstMaterial="translucentPowder">
              <a:extrusionClr>
                <a:schemeClr val="bg2"/>
              </a:extrusionClr>
            </a:sp3d>
          </a:bodyPr>
          <a:lstStyle/>
          <a:p>
            <a:pPr algn="r"/>
            <a:r>
              <a:rPr lang="en-US" sz="1100">
                <a:effectLst/>
              </a:rPr>
              <a:t>Add New</a:t>
            </a:r>
            <a:endParaRPr lang="en-US" sz="1100" baseline="0">
              <a:effectLst/>
            </a:endParaRPr>
          </a:p>
          <a:p>
            <a:pPr algn="r"/>
            <a:endParaRPr lang="en-US" sz="1100">
              <a:effectLst/>
            </a:endParaRPr>
          </a:p>
        </xdr:txBody>
      </xdr:sp>
      <xdr:pic macro="[0]!Invoice_N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18460" y="620136"/>
            <a:ext cx="182880" cy="182880"/>
          </a:xfrm>
          <a:prstGeom prst="rect">
            <a:avLst/>
          </a:prstGeom>
          <a:grpFill/>
          <a:ln>
            <a:solidFill>
              <a:schemeClr val="accent1"/>
            </a:solidFill>
          </a:ln>
        </xdr:spPr>
      </xdr:pic>
      <xdr:pic macro="[0]!Invoice_N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84452" y="591207"/>
            <a:ext cx="146304" cy="146304"/>
          </a:xfrm>
          <a:prstGeom prst="rect">
            <a:avLst/>
          </a:prstGeom>
          <a:grpFill/>
          <a:ln>
            <a:solidFill>
              <a:schemeClr val="accent1"/>
            </a:solidFill>
          </a:ln>
        </xdr:spPr>
      </xdr:pic>
    </xdr:grpSp>
    <xdr:clientData/>
  </xdr:twoCellAnchor>
  <xdr:twoCellAnchor>
    <xdr:from>
      <xdr:col>14</xdr:col>
      <xdr:colOff>101751</xdr:colOff>
      <xdr:row>3</xdr:row>
      <xdr:rowOff>43031</xdr:rowOff>
    </xdr:from>
    <xdr:to>
      <xdr:col>16</xdr:col>
      <xdr:colOff>286551</xdr:colOff>
      <xdr:row>4</xdr:row>
      <xdr:rowOff>142913</xdr:rowOff>
    </xdr:to>
    <xdr:grpSp>
      <xdr:nvGrpSpPr>
        <xdr:cNvPr id="10" name="CancelNewButto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971892" y="876749"/>
          <a:ext cx="1404000" cy="323999"/>
          <a:chOff x="8427327" y="561318"/>
          <a:chExt cx="1117380" cy="246888"/>
        </a:xfr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bliqueTopLeft"/>
          <a:lightRig rig="threePt" dir="t"/>
        </a:scene3d>
      </xdr:grpSpPr>
      <xdr:sp macro="[0]!Invoice_CancelNew" textlink="">
        <xdr:nvSpPr>
          <xdr:cNvPr id="11" name="Rounded Rectangle 7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8427327" y="561318"/>
            <a:ext cx="1117380" cy="246888"/>
          </a:xfrm>
          <a:prstGeom prst="roundRect">
            <a:avLst/>
          </a:prstGeom>
          <a:grpFill/>
          <a:ln>
            <a:solidFill>
              <a:schemeClr val="accent1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>
            <a:sp3d prstMaterial="translucentPowder">
              <a:extrusionClr>
                <a:schemeClr val="bg2"/>
              </a:extrusionClr>
            </a:sp3d>
          </a:bodyPr>
          <a:lstStyle/>
          <a:p>
            <a:pPr algn="r"/>
            <a:r>
              <a:rPr lang="en-US" sz="1100">
                <a:effectLst/>
              </a:rPr>
              <a:t>Cancel</a:t>
            </a:r>
            <a:r>
              <a:rPr lang="en-US" sz="1100" baseline="0">
                <a:effectLst/>
              </a:rPr>
              <a:t> New</a:t>
            </a:r>
          </a:p>
          <a:p>
            <a:pPr algn="r"/>
            <a:endParaRPr lang="en-US" sz="1100">
              <a:effectLst/>
            </a:endParaRPr>
          </a:p>
        </xdr:txBody>
      </xdr:sp>
      <xdr:pic macro="[0]!Invoice_CancelNew">
        <xdr:nvPicPr>
          <xdr:cNvPr id="12" name="Picture 11" hidden="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39176" y="601743"/>
            <a:ext cx="182880" cy="182880"/>
          </a:xfrm>
          <a:prstGeom prst="rect">
            <a:avLst/>
          </a:prstGeom>
          <a:grpFill/>
          <a:ln>
            <a:solidFill>
              <a:schemeClr val="accent1"/>
            </a:solidFill>
          </a:ln>
        </xdr:spPr>
      </xdr:pic>
      <xdr:pic macro="[0]!Invoice_CancelNew">
        <xdr:nvPicPr>
          <xdr:cNvPr id="13" name="Picture 12" hidden="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48751" y="597018"/>
            <a:ext cx="146304" cy="146304"/>
          </a:xfrm>
          <a:prstGeom prst="rect">
            <a:avLst/>
          </a:prstGeom>
          <a:grpFill/>
          <a:ln>
            <a:solidFill>
              <a:schemeClr val="accent1"/>
            </a:solidFill>
          </a:ln>
        </xdr:spPr>
      </xdr:pic>
    </xdr:grpSp>
    <xdr:clientData/>
  </xdr:twoCellAnchor>
  <xdr:twoCellAnchor>
    <xdr:from>
      <xdr:col>14</xdr:col>
      <xdr:colOff>100855</xdr:colOff>
      <xdr:row>5</xdr:row>
      <xdr:rowOff>181536</xdr:rowOff>
    </xdr:from>
    <xdr:to>
      <xdr:col>16</xdr:col>
      <xdr:colOff>285655</xdr:colOff>
      <xdr:row>6</xdr:row>
      <xdr:rowOff>173842</xdr:rowOff>
    </xdr:to>
    <xdr:grpSp>
      <xdr:nvGrpSpPr>
        <xdr:cNvPr id="14" name="PrintInvBtn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9970996" y="1418665"/>
          <a:ext cx="1404000" cy="324001"/>
          <a:chOff x="6888217" y="999468"/>
          <a:chExt cx="1112896" cy="246888"/>
        </a:xfr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bliqueTopLeft"/>
          <a:lightRig rig="threePt" dir="t"/>
        </a:scene3d>
      </xdr:grpSpPr>
      <xdr:sp macro="[0]!Invoice_Print" textlink="">
        <xdr:nvSpPr>
          <xdr:cNvPr id="15" name="Rounded Rectangle 9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888217" y="999468"/>
            <a:ext cx="1112896" cy="246888"/>
          </a:xfrm>
          <a:prstGeom prst="roundRect">
            <a:avLst/>
          </a:prstGeom>
          <a:grpFill/>
          <a:ln>
            <a:solidFill>
              <a:schemeClr val="accent1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>
            <a:sp3d prstMaterial="translucentPowder">
              <a:extrusionClr>
                <a:schemeClr val="bg2"/>
              </a:extrusionClr>
            </a:sp3d>
          </a:bodyPr>
          <a:lstStyle/>
          <a:p>
            <a:pPr algn="r"/>
            <a:r>
              <a:rPr lang="en-US" sz="1100">
                <a:effectLst/>
              </a:rPr>
              <a:t>Print Invoice</a:t>
            </a:r>
            <a:endParaRPr lang="en-US" sz="1100" baseline="0">
              <a:effectLst/>
            </a:endParaRPr>
          </a:p>
          <a:p>
            <a:pPr algn="r"/>
            <a:endParaRPr lang="en-US" sz="1100">
              <a:effectLst/>
            </a:endParaRPr>
          </a:p>
        </xdr:txBody>
      </xdr:sp>
      <xdr:pic macro="[0]!Invoice_Print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18561" y="1047018"/>
            <a:ext cx="182880" cy="182880"/>
          </a:xfrm>
          <a:prstGeom prst="rect">
            <a:avLst/>
          </a:prstGeom>
          <a:grpFill/>
          <a:ln>
            <a:solidFill>
              <a:schemeClr val="accent1"/>
            </a:solidFill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13</xdr:row>
          <xdr:rowOff>99060</xdr:rowOff>
        </xdr:from>
        <xdr:to>
          <xdr:col>19</xdr:col>
          <xdr:colOff>259080</xdr:colOff>
          <xdr:row>13</xdr:row>
          <xdr:rowOff>396240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A3AF3-D24C-4E59-9559-22326F63780A}">
  <sheetPr codeName="Sheet1"/>
  <dimension ref="A1:T1165"/>
  <sheetViews>
    <sheetView showGridLines="0" tabSelected="1" zoomScale="85" zoomScaleNormal="85" workbookViewId="0">
      <selection activeCell="W16" sqref="W16"/>
    </sheetView>
  </sheetViews>
  <sheetFormatPr defaultRowHeight="14.4" x14ac:dyDescent="0.3"/>
  <cols>
    <col min="1" max="1" width="13.21875" style="34" customWidth="1"/>
    <col min="2" max="2" width="10.33203125" style="34" customWidth="1"/>
    <col min="3" max="3" width="10.109375" style="1" customWidth="1"/>
    <col min="4" max="4" width="3.5546875" style="2" customWidth="1"/>
    <col min="5" max="5" width="23.5546875" style="2" customWidth="1"/>
    <col min="6" max="6" width="5" style="2" customWidth="1"/>
    <col min="7" max="7" width="10.88671875" style="2" customWidth="1"/>
    <col min="8" max="8" width="6.21875" style="2" customWidth="1"/>
    <col min="9" max="9" width="9.21875" style="2" customWidth="1"/>
    <col min="10" max="10" width="7.44140625" style="2" customWidth="1"/>
    <col min="11" max="11" width="11.77734375" style="2" customWidth="1"/>
    <col min="12" max="12" width="11" style="2" customWidth="1"/>
    <col min="13" max="13" width="12.77734375" style="2" customWidth="1"/>
    <col min="14" max="14" width="8.88671875" style="1" customWidth="1"/>
    <col min="15" max="16" width="8.88671875" style="32"/>
    <col min="17" max="17" width="7" style="2" customWidth="1"/>
    <col min="18" max="18" width="0.109375" style="2" customWidth="1"/>
    <col min="19" max="19" width="16.44140625" style="2" customWidth="1"/>
    <col min="20" max="16384" width="8.88671875" style="2"/>
  </cols>
  <sheetData>
    <row r="1" spans="1:20" ht="17.399999999999999" customHeight="1" x14ac:dyDescent="0.3">
      <c r="D1" s="89" t="s">
        <v>23</v>
      </c>
      <c r="E1" s="89"/>
      <c r="F1" s="90" t="s">
        <v>61</v>
      </c>
      <c r="G1" s="90"/>
      <c r="H1" s="90"/>
      <c r="I1" s="90"/>
      <c r="J1" s="90"/>
      <c r="K1" s="90"/>
      <c r="L1" s="84" t="s">
        <v>24</v>
      </c>
      <c r="M1" s="84"/>
    </row>
    <row r="2" spans="1:20" ht="34.200000000000003" customHeight="1" x14ac:dyDescent="0.65">
      <c r="D2" s="109" t="s">
        <v>1</v>
      </c>
      <c r="E2" s="110"/>
      <c r="F2" s="110"/>
      <c r="G2" s="110"/>
      <c r="H2" s="110"/>
      <c r="I2" s="110"/>
      <c r="J2" s="110"/>
      <c r="K2" s="110"/>
      <c r="L2" s="110"/>
      <c r="M2" s="110"/>
    </row>
    <row r="3" spans="1:20" x14ac:dyDescent="0.3">
      <c r="A3" s="35" t="s">
        <v>60</v>
      </c>
      <c r="B3" s="35">
        <v>5</v>
      </c>
      <c r="D3" s="111" t="s">
        <v>20</v>
      </c>
      <c r="E3" s="111"/>
      <c r="F3" s="111"/>
      <c r="G3" s="111"/>
      <c r="H3" s="111"/>
      <c r="I3" s="111"/>
      <c r="J3" s="111"/>
      <c r="K3" s="111"/>
      <c r="L3" s="111"/>
      <c r="M3" s="111"/>
    </row>
    <row r="4" spans="1:20" ht="17.399999999999999" x14ac:dyDescent="0.3">
      <c r="A4" s="35" t="s">
        <v>59</v>
      </c>
      <c r="B4" s="35" t="b">
        <v>0</v>
      </c>
      <c r="D4" s="95" t="s">
        <v>21</v>
      </c>
      <c r="E4" s="95"/>
      <c r="F4" s="95"/>
      <c r="G4" s="95"/>
      <c r="H4" s="95"/>
      <c r="I4" s="95"/>
      <c r="J4" s="95"/>
      <c r="K4" s="95"/>
      <c r="L4" s="95"/>
      <c r="M4" s="95"/>
      <c r="O4" s="32">
        <v>4</v>
      </c>
    </row>
    <row r="5" spans="1:20" x14ac:dyDescent="0.3">
      <c r="A5" s="35" t="s">
        <v>62</v>
      </c>
      <c r="B5" s="35">
        <f ca="1">IFERROR(MATCH(M9,InvoiceNumber,0)+1,"")</f>
        <v>2</v>
      </c>
      <c r="D5" s="86" t="s">
        <v>26</v>
      </c>
      <c r="E5" s="86"/>
      <c r="F5" s="86"/>
      <c r="G5" s="86"/>
      <c r="H5" s="86"/>
      <c r="I5" s="86"/>
      <c r="J5" s="86"/>
      <c r="K5" s="86"/>
      <c r="L5" s="86"/>
      <c r="M5" s="86"/>
    </row>
    <row r="6" spans="1:20" ht="26.4" customHeight="1" x14ac:dyDescent="0.3">
      <c r="A6" s="35" t="s">
        <v>44</v>
      </c>
      <c r="B6" s="35">
        <v>5</v>
      </c>
      <c r="D6" s="87" t="s">
        <v>27</v>
      </c>
      <c r="E6" s="88"/>
      <c r="F6" s="88"/>
      <c r="G6" s="88"/>
      <c r="H6" s="88"/>
      <c r="I6" s="88"/>
      <c r="J6" s="88"/>
      <c r="K6" s="88"/>
      <c r="L6" s="88"/>
      <c r="M6" s="88"/>
    </row>
    <row r="7" spans="1:20" ht="18" x14ac:dyDescent="0.3">
      <c r="A7" s="35" t="s">
        <v>43</v>
      </c>
      <c r="B7" s="35" t="b">
        <v>0</v>
      </c>
      <c r="D7" s="85" t="s">
        <v>25</v>
      </c>
      <c r="E7" s="85"/>
      <c r="F7" s="85"/>
      <c r="G7" s="85"/>
      <c r="H7" s="85"/>
      <c r="I7" s="85"/>
      <c r="J7" s="85"/>
      <c r="K7" s="85"/>
      <c r="L7" s="85"/>
      <c r="M7" s="85"/>
    </row>
    <row r="8" spans="1:20" ht="5.4" customHeight="1" x14ac:dyDescent="0.3">
      <c r="D8" s="26"/>
      <c r="E8" s="26"/>
      <c r="F8" s="26"/>
      <c r="G8" s="26"/>
      <c r="H8" s="26"/>
      <c r="I8" s="26"/>
      <c r="J8" s="26"/>
      <c r="K8" s="26"/>
      <c r="L8" s="26"/>
      <c r="M8" s="26"/>
    </row>
    <row r="9" spans="1:20" ht="21" customHeight="1" x14ac:dyDescent="0.3">
      <c r="D9" s="102" t="s">
        <v>4</v>
      </c>
      <c r="E9" s="102"/>
      <c r="F9" s="103" t="s">
        <v>73</v>
      </c>
      <c r="G9" s="103"/>
      <c r="H9" s="103"/>
      <c r="I9" s="103"/>
      <c r="J9" s="10"/>
      <c r="K9" s="104" t="s">
        <v>6</v>
      </c>
      <c r="L9" s="104"/>
      <c r="M9" s="16">
        <v>1</v>
      </c>
    </row>
    <row r="10" spans="1:20" s="7" customFormat="1" ht="16.8" customHeight="1" x14ac:dyDescent="0.3">
      <c r="A10" s="36"/>
      <c r="B10" s="36"/>
      <c r="C10" s="6"/>
      <c r="D10" s="17"/>
      <c r="E10" s="17" t="s">
        <v>7</v>
      </c>
      <c r="F10" s="106" t="s">
        <v>74</v>
      </c>
      <c r="G10" s="106"/>
      <c r="H10" s="106"/>
      <c r="I10" s="17"/>
      <c r="J10" s="17"/>
      <c r="K10" s="118" t="s">
        <v>5</v>
      </c>
      <c r="L10" s="118"/>
      <c r="M10" s="18">
        <v>44711.529409722221</v>
      </c>
      <c r="N10" s="6"/>
      <c r="O10" s="33"/>
      <c r="P10" s="33"/>
      <c r="Q10" s="81"/>
      <c r="R10" s="82"/>
      <c r="S10" s="82"/>
      <c r="T10" s="82"/>
    </row>
    <row r="11" spans="1:20" ht="14.4" customHeight="1" x14ac:dyDescent="0.3">
      <c r="D11" s="11"/>
      <c r="E11" s="11"/>
      <c r="F11" s="117"/>
      <c r="G11" s="117"/>
      <c r="H11" s="117"/>
      <c r="I11" s="11"/>
      <c r="J11" s="11"/>
      <c r="K11" s="11"/>
      <c r="L11" s="11"/>
      <c r="M11" s="11"/>
      <c r="Q11" s="81"/>
      <c r="R11" s="82"/>
      <c r="S11" s="82"/>
      <c r="T11" s="82"/>
    </row>
    <row r="12" spans="1:20" s="7" customFormat="1" ht="17.399999999999999" customHeight="1" thickBot="1" x14ac:dyDescent="0.35">
      <c r="A12" s="77"/>
      <c r="B12" s="77"/>
      <c r="C12" s="6"/>
      <c r="D12" s="19"/>
      <c r="E12" s="19" t="s">
        <v>8</v>
      </c>
      <c r="F12" s="105">
        <v>6299</v>
      </c>
      <c r="G12" s="105"/>
      <c r="H12" s="105"/>
      <c r="I12" s="19"/>
      <c r="J12" s="19"/>
      <c r="K12" s="19"/>
      <c r="L12" s="19"/>
      <c r="M12" s="19"/>
      <c r="N12" s="6"/>
      <c r="O12" s="33"/>
      <c r="P12" s="83" t="s">
        <v>67</v>
      </c>
      <c r="Q12" s="83"/>
      <c r="R12" s="83"/>
      <c r="S12" s="83"/>
      <c r="T12" s="83"/>
    </row>
    <row r="13" spans="1:20" ht="7.8" customHeight="1" thickTop="1" thickBot="1" x14ac:dyDescent="0.35">
      <c r="D13" s="12"/>
      <c r="E13" s="12"/>
      <c r="F13" s="12"/>
      <c r="G13" s="12"/>
      <c r="H13" s="12"/>
      <c r="I13" s="12"/>
      <c r="J13" s="12"/>
      <c r="K13" s="12"/>
      <c r="L13" s="12"/>
      <c r="M13" s="12"/>
      <c r="P13" s="83"/>
      <c r="Q13" s="83"/>
      <c r="R13" s="83"/>
      <c r="S13" s="83"/>
      <c r="T13" s="83"/>
    </row>
    <row r="14" spans="1:20" ht="34.799999999999997" customHeight="1" x14ac:dyDescent="0.3">
      <c r="A14" s="69"/>
      <c r="D14" s="20" t="s">
        <v>9</v>
      </c>
      <c r="E14" s="21" t="s">
        <v>10</v>
      </c>
      <c r="F14" s="22" t="s">
        <v>11</v>
      </c>
      <c r="G14" s="21" t="s">
        <v>12</v>
      </c>
      <c r="H14" s="21" t="s">
        <v>13</v>
      </c>
      <c r="I14" s="24" t="s">
        <v>14</v>
      </c>
      <c r="J14" s="24" t="s">
        <v>15</v>
      </c>
      <c r="K14" s="23" t="s">
        <v>18</v>
      </c>
      <c r="L14" s="24" t="s">
        <v>16</v>
      </c>
      <c r="M14" s="25" t="s">
        <v>17</v>
      </c>
      <c r="N14" s="1" t="s">
        <v>56</v>
      </c>
      <c r="Q14" s="76" t="s">
        <v>66</v>
      </c>
    </row>
    <row r="15" spans="1:20" x14ac:dyDescent="0.3">
      <c r="D15" s="13" t="str">
        <f t="shared" ref="D15:D24" si="0">IF(ISBLANK(E15),"",ROW()-14)</f>
        <v/>
      </c>
      <c r="E15" s="14"/>
      <c r="F15" s="14"/>
      <c r="G15" s="14"/>
      <c r="H15" s="14"/>
      <c r="I15" s="14"/>
      <c r="J15" s="14"/>
      <c r="K15" s="28"/>
      <c r="L15" s="28"/>
      <c r="M15" s="27" t="str">
        <f>IF(ISBLANK(J15),"",J15*(K15+L15))</f>
        <v/>
      </c>
      <c r="Q15" s="68" t="s">
        <v>68</v>
      </c>
      <c r="R15" s="68" t="s">
        <v>48</v>
      </c>
      <c r="S15" s="68" t="s">
        <v>72</v>
      </c>
    </row>
    <row r="16" spans="1:20" x14ac:dyDescent="0.3">
      <c r="A16" s="79"/>
      <c r="B16" s="79"/>
      <c r="D16" s="13" t="str">
        <f t="shared" si="0"/>
        <v/>
      </c>
      <c r="E16" s="14"/>
      <c r="F16" s="14"/>
      <c r="G16" s="14"/>
      <c r="H16" s="14"/>
      <c r="I16" s="14"/>
      <c r="J16" s="14"/>
      <c r="K16" s="28"/>
      <c r="L16" s="28"/>
      <c r="M16" s="27" t="str">
        <f>IF(ISBLANK(J16),"",J16*(K16+L16))</f>
        <v/>
      </c>
      <c r="Q16" s="78">
        <f>IFERROR(INDEX(CustomerDetails!$A$1:$C$469,CustomerDetails!$P2,COLUMNS($Q16:Q16)),"")</f>
        <v>1</v>
      </c>
      <c r="R16" s="78">
        <f>IFERROR(INDEX(CustomerDetails!$A$1:$C$469,CustomerDetails!$P2,COLUMNS($Q16:R16)),"")</f>
        <v>44711.529409722221</v>
      </c>
      <c r="S16" s="78" t="str">
        <f>IFERROR(INDEX(CustomerDetails!$A$1:$C$469,CustomerDetails!$P2,COLUMNS($Q16:S16)),"")</f>
        <v>Rahul Soni</v>
      </c>
    </row>
    <row r="17" spans="1:19" x14ac:dyDescent="0.3">
      <c r="A17" s="79"/>
      <c r="B17" s="79"/>
      <c r="D17" s="13" t="str">
        <f t="shared" si="0"/>
        <v/>
      </c>
      <c r="E17" s="14"/>
      <c r="F17" s="14"/>
      <c r="G17" s="14"/>
      <c r="H17" s="14"/>
      <c r="I17" s="14"/>
      <c r="J17" s="14"/>
      <c r="K17" s="28"/>
      <c r="L17" s="28"/>
      <c r="M17" s="27" t="str">
        <f t="shared" ref="M17:M24" si="1">IF(ISBLANK(J17),"",J17*(K17+L17))</f>
        <v/>
      </c>
      <c r="Q17" s="78">
        <f>IFERROR(INDEX(CustomerDetails!$A$1:$C$469,CustomerDetails!$P3,COLUMNS($Q17:Q17)),"")</f>
        <v>3</v>
      </c>
      <c r="R17" s="78">
        <f>IFERROR(INDEX(CustomerDetails!$A$1:$C$469,CustomerDetails!$P3,COLUMNS($Q17:R17)),"")</f>
        <v>44711.563611111109</v>
      </c>
      <c r="S17" s="78" t="str">
        <f>IFERROR(INDEX(CustomerDetails!$A$1:$C$469,CustomerDetails!$P3,COLUMNS($Q17:S17)),"")</f>
        <v>Roshan Soni</v>
      </c>
    </row>
    <row r="18" spans="1:19" x14ac:dyDescent="0.3">
      <c r="A18" s="79"/>
      <c r="B18" s="79"/>
      <c r="D18" s="13" t="str">
        <f t="shared" si="0"/>
        <v/>
      </c>
      <c r="E18" s="14"/>
      <c r="F18" s="14"/>
      <c r="G18" s="14"/>
      <c r="H18" s="14"/>
      <c r="I18" s="14"/>
      <c r="J18" s="14"/>
      <c r="K18" s="28"/>
      <c r="L18" s="28"/>
      <c r="M18" s="27" t="str">
        <f t="shared" si="1"/>
        <v/>
      </c>
      <c r="Q18" s="78" t="str">
        <f>IFERROR(INDEX(CustomerDetails!$A$1:$C$469,CustomerDetails!$P4,COLUMNS($Q18:Q18)),"")</f>
        <v/>
      </c>
      <c r="R18" s="78" t="str">
        <f>IFERROR(INDEX(CustomerDetails!$A$1:$C$469,CustomerDetails!$P4,COLUMNS($Q18:R18)),"")</f>
        <v/>
      </c>
      <c r="S18" s="78" t="str">
        <f>IFERROR(INDEX(CustomerDetails!$A$1:$C$469,CustomerDetails!$P4,COLUMNS($Q18:S18)),"")</f>
        <v/>
      </c>
    </row>
    <row r="19" spans="1:19" x14ac:dyDescent="0.3">
      <c r="A19" s="79"/>
      <c r="B19" s="79"/>
      <c r="D19" s="13" t="str">
        <f t="shared" si="0"/>
        <v/>
      </c>
      <c r="E19" s="14"/>
      <c r="F19" s="14"/>
      <c r="G19" s="14"/>
      <c r="H19" s="14"/>
      <c r="I19" s="14"/>
      <c r="J19" s="14"/>
      <c r="K19" s="28"/>
      <c r="L19" s="28"/>
      <c r="M19" s="27" t="str">
        <f t="shared" si="1"/>
        <v/>
      </c>
      <c r="Q19" s="78" t="str">
        <f>IFERROR(INDEX(CustomerDetails!$A$1:$C$469,CustomerDetails!$P5,COLUMNS($Q19:Q19)),"")</f>
        <v/>
      </c>
      <c r="R19" s="78" t="str">
        <f>IFERROR(INDEX(CustomerDetails!$A$1:$C$469,CustomerDetails!$P5,COLUMNS($Q19:R19)),"")</f>
        <v/>
      </c>
      <c r="S19" s="78" t="str">
        <f>IFERROR(INDEX(CustomerDetails!$A$1:$C$469,CustomerDetails!$P5,COLUMNS($Q19:S19)),"")</f>
        <v/>
      </c>
    </row>
    <row r="20" spans="1:19" x14ac:dyDescent="0.3">
      <c r="A20" s="79"/>
      <c r="B20" s="79"/>
      <c r="D20" s="13" t="str">
        <f t="shared" si="0"/>
        <v/>
      </c>
      <c r="E20" s="14"/>
      <c r="F20" s="14"/>
      <c r="G20" s="14"/>
      <c r="H20" s="14"/>
      <c r="I20" s="14"/>
      <c r="J20" s="14"/>
      <c r="K20" s="28"/>
      <c r="L20" s="28"/>
      <c r="M20" s="27" t="str">
        <f t="shared" si="1"/>
        <v/>
      </c>
      <c r="Q20" s="78" t="str">
        <f>IFERROR(INDEX(CustomerDetails!$A$1:$C$469,CustomerDetails!$P6,COLUMNS($Q20:Q20)),"")</f>
        <v/>
      </c>
      <c r="R20" s="78" t="str">
        <f>IFERROR(INDEX(CustomerDetails!$A$1:$C$469,CustomerDetails!$P6,COLUMNS($Q20:R20)),"")</f>
        <v/>
      </c>
      <c r="S20" s="78" t="str">
        <f>IFERROR(INDEX(CustomerDetails!$A$1:$C$469,CustomerDetails!$P6,COLUMNS($Q20:S20)),"")</f>
        <v/>
      </c>
    </row>
    <row r="21" spans="1:19" x14ac:dyDescent="0.3">
      <c r="A21" s="79"/>
      <c r="B21" s="79"/>
      <c r="D21" s="13" t="str">
        <f t="shared" si="0"/>
        <v/>
      </c>
      <c r="E21" s="14"/>
      <c r="F21" s="14"/>
      <c r="G21" s="14"/>
      <c r="H21" s="14"/>
      <c r="I21" s="14"/>
      <c r="J21" s="14"/>
      <c r="K21" s="28"/>
      <c r="L21" s="28"/>
      <c r="M21" s="27" t="str">
        <f t="shared" si="1"/>
        <v/>
      </c>
      <c r="Q21" s="78" t="str">
        <f>IFERROR(INDEX(CustomerDetails!$A$1:$C$469,CustomerDetails!$P7,COLUMNS($Q21:Q21)),"")</f>
        <v/>
      </c>
      <c r="R21" s="78" t="str">
        <f>IFERROR(INDEX(CustomerDetails!$A$1:$C$469,CustomerDetails!$P7,COLUMNS($Q21:R21)),"")</f>
        <v/>
      </c>
      <c r="S21" s="78" t="str">
        <f>IFERROR(INDEX(CustomerDetails!$A$1:$C$469,CustomerDetails!$P7,COLUMNS($Q21:S21)),"")</f>
        <v/>
      </c>
    </row>
    <row r="22" spans="1:19" x14ac:dyDescent="0.3">
      <c r="A22" s="79"/>
      <c r="B22" s="79"/>
      <c r="D22" s="13" t="str">
        <f t="shared" si="0"/>
        <v/>
      </c>
      <c r="E22" s="14"/>
      <c r="F22" s="14"/>
      <c r="G22" s="14"/>
      <c r="H22" s="14"/>
      <c r="I22" s="14"/>
      <c r="J22" s="14"/>
      <c r="K22" s="28"/>
      <c r="L22" s="28"/>
      <c r="M22" s="27" t="str">
        <f t="shared" si="1"/>
        <v/>
      </c>
      <c r="Q22" s="78" t="str">
        <f>IFERROR(INDEX(CustomerDetails!$A$1:$C$469,CustomerDetails!$P8,COLUMNS($Q22:Q22)),"")</f>
        <v/>
      </c>
      <c r="R22" s="78" t="str">
        <f>IFERROR(INDEX(CustomerDetails!$A$1:$C$469,CustomerDetails!$P8,COLUMNS($Q22:R22)),"")</f>
        <v/>
      </c>
      <c r="S22" s="78" t="str">
        <f>IFERROR(INDEX(CustomerDetails!$A$1:$C$469,CustomerDetails!$P8,COLUMNS($Q22:S22)),"")</f>
        <v/>
      </c>
    </row>
    <row r="23" spans="1:19" x14ac:dyDescent="0.3">
      <c r="A23" s="79"/>
      <c r="B23" s="79"/>
      <c r="D23" s="13" t="str">
        <f t="shared" si="0"/>
        <v/>
      </c>
      <c r="E23" s="14"/>
      <c r="F23" s="14"/>
      <c r="G23" s="14"/>
      <c r="H23" s="14"/>
      <c r="I23" s="14"/>
      <c r="J23" s="14"/>
      <c r="K23" s="28"/>
      <c r="L23" s="28"/>
      <c r="M23" s="27" t="str">
        <f t="shared" si="1"/>
        <v/>
      </c>
      <c r="Q23" s="78" t="str">
        <f>IFERROR(INDEX(CustomerDetails!$A$1:$C$469,CustomerDetails!$P9,COLUMNS($Q23:Q23)),"")</f>
        <v/>
      </c>
      <c r="R23" s="78" t="str">
        <f>IFERROR(INDEX(CustomerDetails!$A$1:$C$469,CustomerDetails!$P9,COLUMNS($Q23:R23)),"")</f>
        <v/>
      </c>
      <c r="S23" s="78" t="str">
        <f>IFERROR(INDEX(CustomerDetails!$A$1:$C$469,CustomerDetails!$P9,COLUMNS($Q23:S23)),"")</f>
        <v/>
      </c>
    </row>
    <row r="24" spans="1:19" x14ac:dyDescent="0.3">
      <c r="A24" s="79"/>
      <c r="B24" s="79"/>
      <c r="D24" s="13" t="str">
        <f t="shared" si="0"/>
        <v/>
      </c>
      <c r="E24" s="14"/>
      <c r="F24" s="14"/>
      <c r="G24" s="14"/>
      <c r="H24" s="14"/>
      <c r="I24" s="14"/>
      <c r="J24" s="14"/>
      <c r="K24" s="28"/>
      <c r="L24" s="28"/>
      <c r="M24" s="27" t="str">
        <f t="shared" si="1"/>
        <v/>
      </c>
      <c r="Q24" s="78" t="str">
        <f>IFERROR(INDEX(CustomerDetails!$A$1:$C$469,CustomerDetails!$P10,COLUMNS($Q24:Q24)),"")</f>
        <v/>
      </c>
      <c r="R24" s="78" t="str">
        <f>IFERROR(INDEX(CustomerDetails!$A$1:$C$469,CustomerDetails!$P10,COLUMNS($Q24:R24)),"")</f>
        <v/>
      </c>
      <c r="S24" s="78" t="str">
        <f>IFERROR(INDEX(CustomerDetails!$A$1:$C$469,CustomerDetails!$P10,COLUMNS($Q24:S24)),"")</f>
        <v/>
      </c>
    </row>
    <row r="25" spans="1:19" ht="28.2" customHeight="1" x14ac:dyDescent="0.3">
      <c r="A25" s="79"/>
      <c r="B25" s="79"/>
      <c r="D25" s="119" t="s">
        <v>34</v>
      </c>
      <c r="E25" s="120"/>
      <c r="F25" s="120"/>
      <c r="G25" s="120"/>
      <c r="H25" s="120"/>
      <c r="I25" s="121"/>
      <c r="J25" s="113" t="s">
        <v>19</v>
      </c>
      <c r="K25" s="114"/>
      <c r="L25" s="91">
        <f>IF(AND(ISBLANK(M15),ISBLANK(M16)),"",SUM(M15:M24))</f>
        <v>0</v>
      </c>
      <c r="M25" s="92"/>
      <c r="Q25" s="78" t="str">
        <f>IFERROR(INDEX(CustomerDetails!$A$1:$C$469,CustomerDetails!$P11,COLUMNS($Q25:Q25)),"")</f>
        <v/>
      </c>
      <c r="R25" s="78" t="str">
        <f>IFERROR(INDEX(CustomerDetails!$A$1:$C$469,CustomerDetails!$P11,COLUMNS($Q25:R25)),"")</f>
        <v/>
      </c>
      <c r="S25" s="78" t="str">
        <f>IFERROR(INDEX(CustomerDetails!$A$1:$C$469,CustomerDetails!$P11,COLUMNS($Q25:S25)),"")</f>
        <v/>
      </c>
    </row>
    <row r="26" spans="1:19" ht="18" customHeight="1" x14ac:dyDescent="0.3">
      <c r="A26" s="79"/>
      <c r="B26" s="79"/>
      <c r="D26" s="122"/>
      <c r="E26" s="123"/>
      <c r="F26" s="123"/>
      <c r="G26" s="123"/>
      <c r="H26" s="123"/>
      <c r="I26" s="124"/>
      <c r="J26" s="15">
        <v>1.5</v>
      </c>
      <c r="K26" s="29" t="s">
        <v>30</v>
      </c>
      <c r="L26" s="91">
        <f>SUM(L25)*J26/100</f>
        <v>0</v>
      </c>
      <c r="M26" s="92"/>
      <c r="Q26" s="78" t="str">
        <f>IFERROR(INDEX(CustomerDetails!$A$1:$C$469,CustomerDetails!$P12,COLUMNS($Q26:Q26)),"")</f>
        <v/>
      </c>
      <c r="R26" s="78" t="str">
        <f>IFERROR(INDEX(CustomerDetails!$A$1:$C$469,CustomerDetails!$P12,COLUMNS($Q26:R26)),"")</f>
        <v/>
      </c>
      <c r="S26" s="78" t="str">
        <f>IFERROR(INDEX(CustomerDetails!$A$1:$C$469,CustomerDetails!$P12,COLUMNS($Q26:S26)),"")</f>
        <v/>
      </c>
    </row>
    <row r="27" spans="1:19" ht="18" customHeight="1" x14ac:dyDescent="0.3">
      <c r="A27" s="79"/>
      <c r="B27" s="79"/>
      <c r="D27" s="122"/>
      <c r="E27" s="123"/>
      <c r="F27" s="123"/>
      <c r="G27" s="123"/>
      <c r="H27" s="123"/>
      <c r="I27" s="124"/>
      <c r="J27" s="15">
        <v>1.5</v>
      </c>
      <c r="K27" s="30" t="s">
        <v>31</v>
      </c>
      <c r="L27" s="91">
        <f>SUM(L25)*J27/100</f>
        <v>0</v>
      </c>
      <c r="M27" s="92"/>
      <c r="Q27" s="78" t="str">
        <f>IFERROR(INDEX(CustomerDetails!$A$1:$C$469,CustomerDetails!$P13,COLUMNS($Q27:Q27)),"")</f>
        <v/>
      </c>
      <c r="R27" s="78" t="str">
        <f>IFERROR(INDEX(CustomerDetails!$A$1:$C$469,CustomerDetails!$P13,COLUMNS($Q27:R27)),"")</f>
        <v/>
      </c>
      <c r="S27" s="78" t="str">
        <f>IFERROR(INDEX(CustomerDetails!$A$1:$C$469,CustomerDetails!$P13,COLUMNS($Q27:S27)),"")</f>
        <v/>
      </c>
    </row>
    <row r="28" spans="1:19" ht="18" customHeight="1" x14ac:dyDescent="0.3">
      <c r="A28" s="79"/>
      <c r="B28" s="79"/>
      <c r="D28" s="122"/>
      <c r="E28" s="123"/>
      <c r="F28" s="123"/>
      <c r="G28" s="123"/>
      <c r="H28" s="123"/>
      <c r="I28" s="124"/>
      <c r="J28" s="115" t="s">
        <v>32</v>
      </c>
      <c r="K28" s="116"/>
      <c r="L28" s="91">
        <f>IF(ISBLANK(L25),"",SUM(L25:L27))</f>
        <v>0</v>
      </c>
      <c r="M28" s="92"/>
      <c r="Q28" s="78" t="str">
        <f>IFERROR(INDEX(CustomerDetails!$A$1:$C$469,CustomerDetails!$P14,COLUMNS($Q28:Q28)),"")</f>
        <v/>
      </c>
      <c r="R28" s="78" t="str">
        <f>IFERROR(INDEX(CustomerDetails!$A$1:$C$469,CustomerDetails!$P14,COLUMNS($Q28:R28)),"")</f>
        <v/>
      </c>
      <c r="S28" s="78" t="str">
        <f>IFERROR(INDEX(CustomerDetails!$A$1:$C$469,CustomerDetails!$P14,COLUMNS($Q28:S28)),"")</f>
        <v/>
      </c>
    </row>
    <row r="29" spans="1:19" x14ac:dyDescent="0.3">
      <c r="A29" s="79"/>
      <c r="B29" s="79"/>
      <c r="D29" s="122"/>
      <c r="E29" s="123"/>
      <c r="F29" s="123"/>
      <c r="G29" s="123"/>
      <c r="H29" s="123"/>
      <c r="I29" s="124"/>
      <c r="J29" s="115" t="s">
        <v>33</v>
      </c>
      <c r="K29" s="116"/>
      <c r="L29" s="91">
        <v>100</v>
      </c>
      <c r="M29" s="92"/>
      <c r="Q29" s="78" t="str">
        <f>IFERROR(INDEX(CustomerDetails!$A$1:$C$469,CustomerDetails!$P15,COLUMNS($Q29:Q29)),"")</f>
        <v/>
      </c>
      <c r="R29" s="78" t="str">
        <f>IFERROR(INDEX(CustomerDetails!$A$1:$C$469,CustomerDetails!$P15,COLUMNS($Q29:R29)),"")</f>
        <v/>
      </c>
      <c r="S29" s="78" t="str">
        <f>IFERROR(INDEX(CustomerDetails!$A$1:$C$469,CustomerDetails!$P15,COLUMNS($Q29:S29)),"")</f>
        <v/>
      </c>
    </row>
    <row r="30" spans="1:19" ht="43.2" customHeight="1" x14ac:dyDescent="0.3">
      <c r="A30" s="79"/>
      <c r="B30" s="79"/>
      <c r="D30" s="125"/>
      <c r="E30" s="126"/>
      <c r="F30" s="126"/>
      <c r="G30" s="126"/>
      <c r="H30" s="126"/>
      <c r="I30" s="127"/>
      <c r="J30" s="128" t="s">
        <v>35</v>
      </c>
      <c r="K30" s="129"/>
      <c r="L30" s="91">
        <f>ROUNDUP(IF(ISBLANK(L25),"",L28-L29),0)</f>
        <v>-100</v>
      </c>
      <c r="M30" s="92"/>
      <c r="Q30" s="78" t="str">
        <f>IFERROR(INDEX(CustomerDetails!$A$1:$C$469,CustomerDetails!$P16,COLUMNS($Q30:Q30)),"")</f>
        <v/>
      </c>
      <c r="R30" s="78" t="str">
        <f>IFERROR(INDEX(CustomerDetails!$A$1:$C$469,CustomerDetails!$P16,COLUMNS($Q30:R30)),"")</f>
        <v/>
      </c>
      <c r="S30" s="78" t="str">
        <f>IFERROR(INDEX(CustomerDetails!$A$1:$C$469,CustomerDetails!$P16,COLUMNS($Q30:S30)),"")</f>
        <v/>
      </c>
    </row>
    <row r="31" spans="1:19" ht="19.8" customHeight="1" x14ac:dyDescent="0.3">
      <c r="A31" s="79"/>
      <c r="B31" s="79"/>
      <c r="D31" s="98" t="s">
        <v>22</v>
      </c>
      <c r="E31" s="96"/>
      <c r="F31" s="96" t="str">
        <f>RupeeFormat(L30)</f>
        <v xml:space="preserve"> Rupees  One Hundred  Only</v>
      </c>
      <c r="G31" s="96"/>
      <c r="H31" s="96"/>
      <c r="I31" s="96"/>
      <c r="J31" s="96"/>
      <c r="K31" s="96"/>
      <c r="L31" s="96"/>
      <c r="M31" s="97"/>
      <c r="Q31" s="78" t="str">
        <f>IFERROR(INDEX(CustomerDetails!$A$1:$C$469,CustomerDetails!$P17,COLUMNS($Q31:Q31)),"")</f>
        <v/>
      </c>
      <c r="R31" s="78" t="str">
        <f>IFERROR(INDEX(CustomerDetails!$A$1:$C$469,CustomerDetails!$P17,COLUMNS($Q31:R31)),"")</f>
        <v/>
      </c>
      <c r="S31" s="78" t="str">
        <f>IFERROR(INDEX(CustomerDetails!$A$1:$C$469,CustomerDetails!$P17,COLUMNS($Q31:S31)),"")</f>
        <v/>
      </c>
    </row>
    <row r="32" spans="1:19" ht="28.8" customHeight="1" thickBot="1" x14ac:dyDescent="0.35">
      <c r="A32" s="79"/>
      <c r="B32" s="79"/>
      <c r="D32" s="99" t="s">
        <v>28</v>
      </c>
      <c r="E32" s="100"/>
      <c r="F32" s="101"/>
      <c r="G32" s="3" t="s">
        <v>41</v>
      </c>
      <c r="H32" s="93">
        <v>50000</v>
      </c>
      <c r="I32" s="93"/>
      <c r="J32" s="59"/>
      <c r="K32" s="9" t="s">
        <v>29</v>
      </c>
      <c r="L32" s="93">
        <f>L30-H32</f>
        <v>-50100</v>
      </c>
      <c r="M32" s="94"/>
      <c r="Q32" s="78" t="str">
        <f>IFERROR(INDEX(CustomerDetails!$A$1:$C$469,CustomerDetails!$P18,COLUMNS($Q32:Q32)),"")</f>
        <v/>
      </c>
      <c r="R32" s="78" t="str">
        <f>IFERROR(INDEX(CustomerDetails!$A$1:$C$469,CustomerDetails!$P18,COLUMNS($Q32:R32)),"")</f>
        <v/>
      </c>
      <c r="S32" s="78" t="str">
        <f>IFERROR(INDEX(CustomerDetails!$A$1:$C$469,CustomerDetails!$P18,COLUMNS($Q32:S32)),"")</f>
        <v/>
      </c>
    </row>
    <row r="33" spans="1:19" x14ac:dyDescent="0.3">
      <c r="A33" s="79"/>
      <c r="B33" s="79"/>
      <c r="D33" s="26"/>
      <c r="E33" s="26"/>
      <c r="F33" s="26"/>
      <c r="G33" s="26"/>
      <c r="H33" s="26"/>
      <c r="I33" s="26"/>
      <c r="J33" s="26"/>
      <c r="K33" s="26"/>
      <c r="L33" s="26"/>
      <c r="M33" s="26"/>
      <c r="Q33" s="78" t="str">
        <f>IFERROR(INDEX(CustomerDetails!$A$1:$C$469,CustomerDetails!$P19,COLUMNS($Q33:Q33)),"")</f>
        <v/>
      </c>
      <c r="R33" s="78" t="str">
        <f>IFERROR(INDEX(CustomerDetails!$A$1:$C$469,CustomerDetails!$P19,COLUMNS($Q33:R33)),"")</f>
        <v/>
      </c>
      <c r="S33" s="78" t="str">
        <f>IFERROR(INDEX(CustomerDetails!$A$1:$C$469,CustomerDetails!$P19,COLUMNS($Q33:S33)),"")</f>
        <v/>
      </c>
    </row>
    <row r="34" spans="1:19" x14ac:dyDescent="0.3">
      <c r="A34" s="79"/>
      <c r="B34" s="79"/>
      <c r="D34" s="26"/>
      <c r="E34" s="26"/>
      <c r="F34" s="26"/>
      <c r="G34" s="26"/>
      <c r="H34" s="26"/>
      <c r="I34" s="26"/>
      <c r="J34" s="26"/>
      <c r="K34" s="66"/>
      <c r="L34" s="26"/>
      <c r="M34" s="26"/>
      <c r="Q34" s="78" t="str">
        <f>IFERROR(INDEX(CustomerDetails!$A$1:$C$469,CustomerDetails!$P20,COLUMNS($Q34:Q34)),"")</f>
        <v/>
      </c>
      <c r="R34" s="78" t="str">
        <f>IFERROR(INDEX(CustomerDetails!$A$1:$C$469,CustomerDetails!$P20,COLUMNS($Q34:R34)),"")</f>
        <v/>
      </c>
      <c r="S34" s="78" t="str">
        <f>IFERROR(INDEX(CustomerDetails!$A$1:$C$469,CustomerDetails!$P20,COLUMNS($Q34:S34)),"")</f>
        <v/>
      </c>
    </row>
    <row r="35" spans="1:19" ht="9.6" customHeight="1" x14ac:dyDescent="0.3">
      <c r="A35" s="79"/>
      <c r="B35" s="79"/>
      <c r="D35" s="66"/>
      <c r="E35" s="67"/>
      <c r="F35" s="66"/>
      <c r="G35" s="26"/>
      <c r="H35" s="26"/>
      <c r="I35" s="26"/>
      <c r="J35" s="26"/>
      <c r="K35" s="67"/>
      <c r="L35" s="67"/>
      <c r="M35" s="66"/>
      <c r="Q35" s="78" t="str">
        <f>IFERROR(INDEX(CustomerDetails!$A$1:$C$469,CustomerDetails!$P21,COLUMNS($Q35:Q35)),"")</f>
        <v/>
      </c>
      <c r="R35" s="78" t="str">
        <f>IFERROR(INDEX(CustomerDetails!$A$1:$C$469,CustomerDetails!$P21,COLUMNS($Q35:R35)),"")</f>
        <v/>
      </c>
      <c r="S35" s="78" t="str">
        <f>IFERROR(INDEX(CustomerDetails!$A$1:$C$469,CustomerDetails!$P21,COLUMNS($Q35:S35)),"")</f>
        <v/>
      </c>
    </row>
    <row r="36" spans="1:19" s="7" customFormat="1" x14ac:dyDescent="0.3">
      <c r="A36" s="80"/>
      <c r="B36" s="80"/>
      <c r="C36" s="6"/>
      <c r="E36" s="7" t="s">
        <v>2</v>
      </c>
      <c r="J36" s="8"/>
      <c r="K36" s="112" t="s">
        <v>3</v>
      </c>
      <c r="L36" s="112"/>
      <c r="N36" s="6"/>
      <c r="O36" s="33"/>
      <c r="P36" s="33"/>
      <c r="Q36" s="78" t="str">
        <f>IFERROR(INDEX(CustomerDetails!$A$1:$C$469,CustomerDetails!$P22,COLUMNS($Q36:Q36)),"")</f>
        <v/>
      </c>
      <c r="R36" s="78" t="str">
        <f>IFERROR(INDEX(CustomerDetails!$A$1:$C$469,CustomerDetails!$P22,COLUMNS($Q36:R36)),"")</f>
        <v/>
      </c>
      <c r="S36" s="78" t="str">
        <f>IFERROR(INDEX(CustomerDetails!$A$1:$C$469,CustomerDetails!$P22,COLUMNS($Q36:S36)),"")</f>
        <v/>
      </c>
    </row>
    <row r="37" spans="1:19" x14ac:dyDescent="0.3">
      <c r="A37" s="79"/>
      <c r="B37" s="79"/>
      <c r="D37" s="4"/>
      <c r="E37" s="4"/>
      <c r="F37" s="4"/>
      <c r="G37" s="4"/>
      <c r="H37" s="4"/>
      <c r="I37" s="4"/>
      <c r="J37" s="4"/>
      <c r="K37" s="4"/>
      <c r="L37" s="4"/>
      <c r="M37" s="4"/>
      <c r="Q37" s="78" t="str">
        <f>IFERROR(INDEX(CustomerDetails!$A$1:$C$469,CustomerDetails!$P23,COLUMNS($Q37:Q37)),"")</f>
        <v/>
      </c>
      <c r="R37" s="78" t="str">
        <f>IFERROR(INDEX(CustomerDetails!$A$1:$C$469,CustomerDetails!$P23,COLUMNS($Q37:R37)),"")</f>
        <v/>
      </c>
      <c r="S37" s="78" t="str">
        <f>IFERROR(INDEX(CustomerDetails!$A$1:$C$469,CustomerDetails!$P23,COLUMNS($Q37:S37)),"")</f>
        <v/>
      </c>
    </row>
    <row r="38" spans="1:19" ht="15.6" x14ac:dyDescent="0.3">
      <c r="A38" s="79"/>
      <c r="B38" s="79"/>
      <c r="D38" s="107" t="s">
        <v>0</v>
      </c>
      <c r="E38" s="108"/>
      <c r="F38" s="108"/>
      <c r="G38" s="108"/>
      <c r="H38" s="108"/>
      <c r="I38" s="108"/>
      <c r="J38" s="108"/>
      <c r="K38" s="108"/>
      <c r="L38" s="108"/>
      <c r="M38" s="108"/>
      <c r="Q38" s="78" t="str">
        <f>IFERROR(INDEX(CustomerDetails!$A$1:$C$469,CustomerDetails!$P24,COLUMNS($Q38:Q38)),"")</f>
        <v/>
      </c>
      <c r="R38" s="78" t="str">
        <f>IFERROR(INDEX(CustomerDetails!$A$1:$C$469,CustomerDetails!$P24,COLUMNS($Q38:R38)),"")</f>
        <v/>
      </c>
      <c r="S38" s="78" t="str">
        <f>IFERROR(INDEX(CustomerDetails!$A$1:$C$469,CustomerDetails!$P24,COLUMNS($Q38:S38)),"")</f>
        <v/>
      </c>
    </row>
    <row r="39" spans="1:19" x14ac:dyDescent="0.3">
      <c r="A39" s="79"/>
      <c r="B39" s="79"/>
      <c r="D39" s="5"/>
      <c r="E39" s="5"/>
      <c r="F39" s="5"/>
      <c r="G39" s="5"/>
      <c r="H39" s="5"/>
      <c r="I39" s="5"/>
      <c r="J39" s="5"/>
      <c r="K39" s="5"/>
      <c r="L39" s="5"/>
      <c r="M39" s="5"/>
      <c r="Q39" s="78" t="str">
        <f>IFERROR(INDEX(CustomerDetails!$A$1:$C$469,CustomerDetails!$P25,COLUMNS($Q39:Q39)),"")</f>
        <v/>
      </c>
      <c r="R39" s="78" t="str">
        <f>IFERROR(INDEX(CustomerDetails!$A$1:$C$469,CustomerDetails!$P25,COLUMNS($Q39:R39)),"")</f>
        <v/>
      </c>
      <c r="S39" s="78" t="str">
        <f>IFERROR(INDEX(CustomerDetails!$A$1:$C$469,CustomerDetails!$P25,COLUMNS($Q39:S39)),"")</f>
        <v/>
      </c>
    </row>
    <row r="40" spans="1:19" x14ac:dyDescent="0.3">
      <c r="A40" s="79"/>
      <c r="B40" s="79"/>
      <c r="Q40" s="78" t="str">
        <f>IFERROR(INDEX(CustomerDetails!$A$1:$C$469,CustomerDetails!$P26,COLUMNS($Q40:Q40)),"")</f>
        <v/>
      </c>
      <c r="R40" s="78" t="str">
        <f>IFERROR(INDEX(CustomerDetails!$A$1:$C$469,CustomerDetails!$P26,COLUMNS($Q40:R40)),"")</f>
        <v/>
      </c>
      <c r="S40" s="78" t="str">
        <f>IFERROR(INDEX(CustomerDetails!$A$1:$C$469,CustomerDetails!$P26,COLUMNS($Q40:S40)),"")</f>
        <v/>
      </c>
    </row>
    <row r="41" spans="1:19" x14ac:dyDescent="0.3">
      <c r="A41" s="79"/>
      <c r="B41" s="79"/>
      <c r="Q41" s="78" t="str">
        <f>IFERROR(INDEX(CustomerDetails!$A$1:$C$469,CustomerDetails!$P27,COLUMNS($Q41:Q41)),"")</f>
        <v/>
      </c>
      <c r="R41" s="78" t="str">
        <f>IFERROR(INDEX(CustomerDetails!$A$1:$C$469,CustomerDetails!$P27,COLUMNS($Q41:R41)),"")</f>
        <v/>
      </c>
      <c r="S41" s="78" t="str">
        <f>IFERROR(INDEX(CustomerDetails!$A$1:$C$469,CustomerDetails!$P27,COLUMNS($Q41:S41)),"")</f>
        <v/>
      </c>
    </row>
    <row r="42" spans="1:19" x14ac:dyDescent="0.3">
      <c r="A42" s="79"/>
      <c r="B42" s="79"/>
      <c r="Q42" s="78" t="str">
        <f>IFERROR(INDEX(CustomerDetails!$A$1:$C$469,CustomerDetails!$P28,COLUMNS($Q42:Q42)),"")</f>
        <v/>
      </c>
      <c r="R42" s="78" t="str">
        <f>IFERROR(INDEX(CustomerDetails!$A$1:$C$469,CustomerDetails!$P28,COLUMNS($Q42:R42)),"")</f>
        <v/>
      </c>
      <c r="S42" s="78" t="str">
        <f>IFERROR(INDEX(CustomerDetails!$A$1:$C$469,CustomerDetails!$P28,COLUMNS($Q42:S42)),"")</f>
        <v/>
      </c>
    </row>
    <row r="43" spans="1:19" x14ac:dyDescent="0.3">
      <c r="A43" s="79"/>
      <c r="B43" s="79"/>
      <c r="Q43" s="78" t="str">
        <f>IFERROR(INDEX(CustomerDetails!$A$1:$C$469,CustomerDetails!$P29,COLUMNS($Q43:Q43)),"")</f>
        <v/>
      </c>
      <c r="R43" s="78" t="str">
        <f>IFERROR(INDEX(CustomerDetails!$A$1:$C$469,CustomerDetails!$P29,COLUMNS($Q43:R43)),"")</f>
        <v/>
      </c>
      <c r="S43" s="78" t="str">
        <f>IFERROR(INDEX(CustomerDetails!$A$1:$C$469,CustomerDetails!$P29,COLUMNS($Q43:S43)),"")</f>
        <v/>
      </c>
    </row>
    <row r="44" spans="1:19" x14ac:dyDescent="0.3">
      <c r="A44" s="79"/>
      <c r="B44" s="79"/>
      <c r="Q44" s="78" t="str">
        <f>IFERROR(INDEX(CustomerDetails!$A$1:$C$469,CustomerDetails!$P30,COLUMNS($Q44:Q44)),"")</f>
        <v/>
      </c>
      <c r="R44" s="78" t="str">
        <f>IFERROR(INDEX(CustomerDetails!$A$1:$C$469,CustomerDetails!$P30,COLUMNS($Q44:R44)),"")</f>
        <v/>
      </c>
      <c r="S44" s="78" t="str">
        <f>IFERROR(INDEX(CustomerDetails!$A$1:$C$469,CustomerDetails!$P30,COLUMNS($Q44:S44)),"")</f>
        <v/>
      </c>
    </row>
    <row r="45" spans="1:19" x14ac:dyDescent="0.3">
      <c r="A45" s="79"/>
      <c r="B45" s="79"/>
      <c r="Q45" s="78" t="str">
        <f>IFERROR(INDEX(CustomerDetails!$A$1:$C$469,CustomerDetails!$P31,COLUMNS($Q45:Q45)),"")</f>
        <v/>
      </c>
      <c r="R45" s="78" t="str">
        <f>IFERROR(INDEX(CustomerDetails!$A$1:$C$469,CustomerDetails!$P31,COLUMNS($Q45:R45)),"")</f>
        <v/>
      </c>
      <c r="S45" s="78" t="str">
        <f>IFERROR(INDEX(CustomerDetails!$A$1:$C$469,CustomerDetails!$P31,COLUMNS($Q45:S45)),"")</f>
        <v/>
      </c>
    </row>
    <row r="46" spans="1:19" x14ac:dyDescent="0.3">
      <c r="A46" s="79"/>
      <c r="B46" s="79"/>
      <c r="Q46" s="78" t="str">
        <f>IFERROR(INDEX(CustomerDetails!$A$1:$C$469,CustomerDetails!$P32,COLUMNS($Q46:Q46)),"")</f>
        <v/>
      </c>
      <c r="R46" s="78" t="str">
        <f>IFERROR(INDEX(CustomerDetails!$A$1:$C$469,CustomerDetails!$P32,COLUMNS($Q46:R46)),"")</f>
        <v/>
      </c>
      <c r="S46" s="78" t="str">
        <f>IFERROR(INDEX(CustomerDetails!$A$1:$C$469,CustomerDetails!$P32,COLUMNS($Q46:S46)),"")</f>
        <v/>
      </c>
    </row>
    <row r="47" spans="1:19" x14ac:dyDescent="0.3">
      <c r="A47" s="79"/>
      <c r="B47" s="79"/>
      <c r="Q47" s="78" t="str">
        <f>IFERROR(INDEX(CustomerDetails!$A$1:$C$469,CustomerDetails!$P33,COLUMNS($Q47:Q47)),"")</f>
        <v/>
      </c>
      <c r="R47" s="78" t="str">
        <f>IFERROR(INDEX(CustomerDetails!$A$1:$C$469,CustomerDetails!$P33,COLUMNS($Q47:R47)),"")</f>
        <v/>
      </c>
      <c r="S47" s="78" t="str">
        <f>IFERROR(INDEX(CustomerDetails!$A$1:$C$469,CustomerDetails!$P33,COLUMNS($Q47:S47)),"")</f>
        <v/>
      </c>
    </row>
    <row r="48" spans="1:19" x14ac:dyDescent="0.3">
      <c r="A48" s="79"/>
      <c r="B48" s="79"/>
      <c r="Q48" s="78" t="str">
        <f>IFERROR(INDEX(CustomerDetails!$A$1:$C$469,CustomerDetails!$P34,COLUMNS($Q48:Q48)),"")</f>
        <v/>
      </c>
      <c r="R48" s="78" t="str">
        <f>IFERROR(INDEX(CustomerDetails!$A$1:$C$469,CustomerDetails!$P34,COLUMNS($Q48:R48)),"")</f>
        <v/>
      </c>
      <c r="S48" s="78" t="str">
        <f>IFERROR(INDEX(CustomerDetails!$A$1:$C$469,CustomerDetails!$P34,COLUMNS($Q48:S48)),"")</f>
        <v/>
      </c>
    </row>
    <row r="49" spans="1:19" x14ac:dyDescent="0.3">
      <c r="A49" s="79"/>
      <c r="B49" s="79"/>
      <c r="Q49" s="78" t="str">
        <f>IFERROR(INDEX(CustomerDetails!$A$1:$C$469,CustomerDetails!$P35,COLUMNS($Q49:Q49)),"")</f>
        <v/>
      </c>
      <c r="R49" s="78" t="str">
        <f>IFERROR(INDEX(CustomerDetails!$A$1:$C$469,CustomerDetails!$P35,COLUMNS($Q49:R49)),"")</f>
        <v/>
      </c>
      <c r="S49" s="78" t="str">
        <f>IFERROR(INDEX(CustomerDetails!$A$1:$C$469,CustomerDetails!$P35,COLUMNS($Q49:S49)),"")</f>
        <v/>
      </c>
    </row>
    <row r="50" spans="1:19" x14ac:dyDescent="0.3">
      <c r="A50" s="79"/>
      <c r="B50" s="79"/>
      <c r="Q50" s="78" t="str">
        <f>IFERROR(INDEX(CustomerDetails!$A$1:$C$469,CustomerDetails!$P36,COLUMNS($Q50:Q50)),"")</f>
        <v/>
      </c>
      <c r="R50" s="78" t="str">
        <f>IFERROR(INDEX(CustomerDetails!$A$1:$C$469,CustomerDetails!$P36,COLUMNS($Q50:R50)),"")</f>
        <v/>
      </c>
      <c r="S50" s="78" t="str">
        <f>IFERROR(INDEX(CustomerDetails!$A$1:$C$469,CustomerDetails!$P36,COLUMNS($Q50:S50)),"")</f>
        <v/>
      </c>
    </row>
    <row r="51" spans="1:19" x14ac:dyDescent="0.3">
      <c r="A51" s="79"/>
      <c r="B51" s="79"/>
      <c r="Q51" s="78" t="str">
        <f>IFERROR(INDEX(CustomerDetails!$A$1:$C$469,CustomerDetails!$P37,COLUMNS($Q51:Q51)),"")</f>
        <v/>
      </c>
      <c r="R51" s="78" t="str">
        <f>IFERROR(INDEX(CustomerDetails!$A$1:$C$469,CustomerDetails!$P37,COLUMNS($Q51:R51)),"")</f>
        <v/>
      </c>
      <c r="S51" s="78" t="str">
        <f>IFERROR(INDEX(CustomerDetails!$A$1:$C$469,CustomerDetails!$P37,COLUMNS($Q51:S51)),"")</f>
        <v/>
      </c>
    </row>
    <row r="52" spans="1:19" x14ac:dyDescent="0.3">
      <c r="A52" s="79"/>
      <c r="B52" s="79"/>
      <c r="Q52" s="78" t="str">
        <f>IFERROR(INDEX(CustomerDetails!$A$1:$C$469,CustomerDetails!$P38,COLUMNS($Q52:Q52)),"")</f>
        <v/>
      </c>
      <c r="R52" s="78" t="str">
        <f>IFERROR(INDEX(CustomerDetails!$A$1:$C$469,CustomerDetails!$P38,COLUMNS($Q52:R52)),"")</f>
        <v/>
      </c>
      <c r="S52" s="78" t="str">
        <f>IFERROR(INDEX(CustomerDetails!$A$1:$C$469,CustomerDetails!$P38,COLUMNS($Q52:S52)),"")</f>
        <v/>
      </c>
    </row>
    <row r="53" spans="1:19" x14ac:dyDescent="0.3">
      <c r="A53" s="79"/>
      <c r="B53" s="79"/>
      <c r="Q53" s="78" t="str">
        <f>IFERROR(INDEX(CustomerDetails!$A$1:$C$469,CustomerDetails!$P39,COLUMNS($Q53:Q53)),"")</f>
        <v/>
      </c>
      <c r="R53" s="78" t="str">
        <f>IFERROR(INDEX(CustomerDetails!$A$1:$C$469,CustomerDetails!$P39,COLUMNS($Q53:R53)),"")</f>
        <v/>
      </c>
      <c r="S53" s="78" t="str">
        <f>IFERROR(INDEX(CustomerDetails!$A$1:$C$469,CustomerDetails!$P39,COLUMNS($Q53:S53)),"")</f>
        <v/>
      </c>
    </row>
    <row r="54" spans="1:19" x14ac:dyDescent="0.3">
      <c r="A54" s="79"/>
      <c r="B54" s="79"/>
      <c r="Q54" s="78" t="str">
        <f>IFERROR(INDEX(CustomerDetails!$A$1:$C$469,CustomerDetails!$P40,COLUMNS($Q54:Q54)),"")</f>
        <v/>
      </c>
      <c r="R54" s="78" t="str">
        <f>IFERROR(INDEX(CustomerDetails!$A$1:$C$469,CustomerDetails!$P40,COLUMNS($Q54:R54)),"")</f>
        <v/>
      </c>
      <c r="S54" s="78" t="str">
        <f>IFERROR(INDEX(CustomerDetails!$A$1:$C$469,CustomerDetails!$P40,COLUMNS($Q54:S54)),"")</f>
        <v/>
      </c>
    </row>
    <row r="55" spans="1:19" x14ac:dyDescent="0.3">
      <c r="A55" s="79"/>
      <c r="B55" s="79"/>
      <c r="Q55" s="78" t="str">
        <f>IFERROR(INDEX(CustomerDetails!$A$1:$C$469,CustomerDetails!$P41,COLUMNS($Q55:Q55)),"")</f>
        <v/>
      </c>
      <c r="R55" s="78" t="str">
        <f>IFERROR(INDEX(CustomerDetails!$A$1:$C$469,CustomerDetails!$P41,COLUMNS($Q55:R55)),"")</f>
        <v/>
      </c>
      <c r="S55" s="78" t="str">
        <f>IFERROR(INDEX(CustomerDetails!$A$1:$C$469,CustomerDetails!$P41,COLUMNS($Q55:S55)),"")</f>
        <v/>
      </c>
    </row>
    <row r="56" spans="1:19" x14ac:dyDescent="0.3">
      <c r="A56" s="79"/>
      <c r="B56" s="79"/>
      <c r="Q56" s="78" t="str">
        <f>IFERROR(INDEX(CustomerDetails!$A$1:$C$469,CustomerDetails!$P42,COLUMNS($Q56:Q56)),"")</f>
        <v/>
      </c>
      <c r="R56" s="78" t="str">
        <f>IFERROR(INDEX(CustomerDetails!$A$1:$C$469,CustomerDetails!$P42,COLUMNS($Q56:R56)),"")</f>
        <v/>
      </c>
      <c r="S56" s="78" t="str">
        <f>IFERROR(INDEX(CustomerDetails!$A$1:$C$469,CustomerDetails!$P42,COLUMNS($Q56:S56)),"")</f>
        <v/>
      </c>
    </row>
    <row r="57" spans="1:19" x14ac:dyDescent="0.3">
      <c r="A57" s="79"/>
      <c r="B57" s="79"/>
      <c r="Q57" s="78" t="str">
        <f>IFERROR(INDEX(CustomerDetails!$A$1:$C$469,CustomerDetails!$P43,COLUMNS($Q57:Q57)),"")</f>
        <v/>
      </c>
      <c r="R57" s="78" t="str">
        <f>IFERROR(INDEX(CustomerDetails!$A$1:$C$469,CustomerDetails!$P43,COLUMNS($Q57:R57)),"")</f>
        <v/>
      </c>
      <c r="S57" s="78" t="str">
        <f>IFERROR(INDEX(CustomerDetails!$A$1:$C$469,CustomerDetails!$P43,COLUMNS($Q57:S57)),"")</f>
        <v/>
      </c>
    </row>
    <row r="58" spans="1:19" x14ac:dyDescent="0.3">
      <c r="A58" s="79"/>
      <c r="B58" s="79"/>
      <c r="Q58" s="78" t="str">
        <f>IFERROR(INDEX(CustomerDetails!$A$1:$C$469,CustomerDetails!$P44,COLUMNS($Q58:Q58)),"")</f>
        <v/>
      </c>
      <c r="R58" s="78" t="str">
        <f>IFERROR(INDEX(CustomerDetails!$A$1:$C$469,CustomerDetails!$P44,COLUMNS($Q58:R58)),"")</f>
        <v/>
      </c>
      <c r="S58" s="78" t="str">
        <f>IFERROR(INDEX(CustomerDetails!$A$1:$C$469,CustomerDetails!$P44,COLUMNS($Q58:S58)),"")</f>
        <v/>
      </c>
    </row>
    <row r="59" spans="1:19" x14ac:dyDescent="0.3">
      <c r="A59" s="79"/>
      <c r="B59" s="79"/>
      <c r="Q59" s="78" t="str">
        <f>IFERROR(INDEX(CustomerDetails!$A$1:$C$469,CustomerDetails!$P45,COLUMNS($Q59:Q59)),"")</f>
        <v/>
      </c>
      <c r="R59" s="78" t="str">
        <f>IFERROR(INDEX(CustomerDetails!$A$1:$C$469,CustomerDetails!$P45,COLUMNS($Q59:R59)),"")</f>
        <v/>
      </c>
      <c r="S59" s="78" t="str">
        <f>IFERROR(INDEX(CustomerDetails!$A$1:$C$469,CustomerDetails!$P45,COLUMNS($Q59:S59)),"")</f>
        <v/>
      </c>
    </row>
    <row r="60" spans="1:19" x14ac:dyDescent="0.3">
      <c r="A60" s="79"/>
      <c r="B60" s="79"/>
      <c r="Q60" s="78" t="str">
        <f>IFERROR(INDEX(CustomerDetails!$A$1:$C$469,CustomerDetails!$P46,COLUMNS($Q60:Q60)),"")</f>
        <v/>
      </c>
      <c r="R60" s="78" t="str">
        <f>IFERROR(INDEX(CustomerDetails!$A$1:$C$469,CustomerDetails!$P46,COLUMNS($Q60:R60)),"")</f>
        <v/>
      </c>
      <c r="S60" s="78" t="str">
        <f>IFERROR(INDEX(CustomerDetails!$A$1:$C$469,CustomerDetails!$P46,COLUMNS($Q60:S60)),"")</f>
        <v/>
      </c>
    </row>
    <row r="61" spans="1:19" x14ac:dyDescent="0.3">
      <c r="A61" s="79"/>
      <c r="B61" s="79"/>
      <c r="Q61" s="78" t="str">
        <f>IFERROR(INDEX(CustomerDetails!$A$1:$C$469,CustomerDetails!$P47,COLUMNS($Q61:Q61)),"")</f>
        <v/>
      </c>
      <c r="R61" s="78" t="str">
        <f>IFERROR(INDEX(CustomerDetails!$A$1:$C$469,CustomerDetails!$P47,COLUMNS($Q61:R61)),"")</f>
        <v/>
      </c>
      <c r="S61" s="78" t="str">
        <f>IFERROR(INDEX(CustomerDetails!$A$1:$C$469,CustomerDetails!$P47,COLUMNS($Q61:S61)),"")</f>
        <v/>
      </c>
    </row>
    <row r="62" spans="1:19" x14ac:dyDescent="0.3">
      <c r="A62" s="79"/>
      <c r="B62" s="79"/>
      <c r="Q62" s="78" t="str">
        <f>IFERROR(INDEX(CustomerDetails!$A$1:$C$469,CustomerDetails!$P48,COLUMNS($Q62:Q62)),"")</f>
        <v/>
      </c>
      <c r="R62" s="78" t="str">
        <f>IFERROR(INDEX(CustomerDetails!$A$1:$C$469,CustomerDetails!$P48,COLUMNS($Q62:R62)),"")</f>
        <v/>
      </c>
      <c r="S62" s="78" t="str">
        <f>IFERROR(INDEX(CustomerDetails!$A$1:$C$469,CustomerDetails!$P48,COLUMNS($Q62:S62)),"")</f>
        <v/>
      </c>
    </row>
    <row r="63" spans="1:19" x14ac:dyDescent="0.3">
      <c r="A63" s="79"/>
      <c r="B63" s="79"/>
      <c r="Q63" s="78" t="str">
        <f>IFERROR(INDEX(CustomerDetails!$A$1:$C$469,CustomerDetails!$P49,COLUMNS($Q63:Q63)),"")</f>
        <v/>
      </c>
      <c r="R63" s="78" t="str">
        <f>IFERROR(INDEX(CustomerDetails!$A$1:$C$469,CustomerDetails!$P49,COLUMNS($Q63:R63)),"")</f>
        <v/>
      </c>
      <c r="S63" s="78" t="str">
        <f>IFERROR(INDEX(CustomerDetails!$A$1:$C$469,CustomerDetails!$P49,COLUMNS($Q63:S63)),"")</f>
        <v/>
      </c>
    </row>
    <row r="64" spans="1:19" x14ac:dyDescent="0.3">
      <c r="A64" s="79"/>
      <c r="B64" s="79"/>
      <c r="Q64" s="78" t="str">
        <f>IFERROR(INDEX(CustomerDetails!$A$1:$C$469,CustomerDetails!$P50,COLUMNS($Q64:Q64)),"")</f>
        <v/>
      </c>
      <c r="R64" s="78" t="str">
        <f>IFERROR(INDEX(CustomerDetails!$A$1:$C$469,CustomerDetails!$P50,COLUMNS($Q64:R64)),"")</f>
        <v/>
      </c>
      <c r="S64" s="78" t="str">
        <f>IFERROR(INDEX(CustomerDetails!$A$1:$C$469,CustomerDetails!$P50,COLUMNS($Q64:S64)),"")</f>
        <v/>
      </c>
    </row>
    <row r="65" spans="1:19" x14ac:dyDescent="0.3">
      <c r="A65" s="79"/>
      <c r="B65" s="79"/>
      <c r="Q65" s="78" t="str">
        <f>IFERROR(INDEX(CustomerDetails!$A$1:$C$469,CustomerDetails!$P51,COLUMNS($Q65:Q65)),"")</f>
        <v/>
      </c>
      <c r="R65" s="78" t="str">
        <f>IFERROR(INDEX(CustomerDetails!$A$1:$C$469,CustomerDetails!$P51,COLUMNS($Q65:R65)),"")</f>
        <v/>
      </c>
      <c r="S65" s="78" t="str">
        <f>IFERROR(INDEX(CustomerDetails!$A$1:$C$469,CustomerDetails!$P51,COLUMNS($Q65:S65)),"")</f>
        <v/>
      </c>
    </row>
    <row r="66" spans="1:19" x14ac:dyDescent="0.3">
      <c r="A66" s="79"/>
      <c r="B66" s="79"/>
      <c r="Q66" s="78" t="str">
        <f>IFERROR(INDEX(CustomerDetails!$A$1:$C$469,CustomerDetails!$P52,COLUMNS($Q66:Q66)),"")</f>
        <v/>
      </c>
      <c r="R66" s="78" t="str">
        <f>IFERROR(INDEX(CustomerDetails!$A$1:$C$469,CustomerDetails!$P52,COLUMNS($Q66:R66)),"")</f>
        <v/>
      </c>
      <c r="S66" s="78" t="str">
        <f>IFERROR(INDEX(CustomerDetails!$A$1:$C$469,CustomerDetails!$P52,COLUMNS($Q66:S66)),"")</f>
        <v/>
      </c>
    </row>
    <row r="67" spans="1:19" x14ac:dyDescent="0.3">
      <c r="A67" s="79"/>
      <c r="B67" s="79"/>
      <c r="Q67" s="78" t="str">
        <f>IFERROR(INDEX(CustomerDetails!$A$1:$C$469,CustomerDetails!$P53,COLUMNS($Q67:Q67)),"")</f>
        <v/>
      </c>
      <c r="R67" s="78" t="str">
        <f>IFERROR(INDEX(CustomerDetails!$A$1:$C$469,CustomerDetails!$P53,COLUMNS($Q67:R67)),"")</f>
        <v/>
      </c>
      <c r="S67" s="78" t="str">
        <f>IFERROR(INDEX(CustomerDetails!$A$1:$C$469,CustomerDetails!$P53,COLUMNS($Q67:S67)),"")</f>
        <v/>
      </c>
    </row>
    <row r="68" spans="1:19" x14ac:dyDescent="0.3">
      <c r="A68" s="79"/>
      <c r="B68" s="79"/>
      <c r="Q68" s="78" t="str">
        <f>IFERROR(INDEX(CustomerDetails!$A$1:$C$469,CustomerDetails!$P54,COLUMNS($Q68:Q68)),"")</f>
        <v/>
      </c>
      <c r="R68" s="78" t="str">
        <f>IFERROR(INDEX(CustomerDetails!$A$1:$C$469,CustomerDetails!$P54,COLUMNS($Q68:R68)),"")</f>
        <v/>
      </c>
      <c r="S68" s="78" t="str">
        <f>IFERROR(INDEX(CustomerDetails!$A$1:$C$469,CustomerDetails!$P54,COLUMNS($Q68:S68)),"")</f>
        <v/>
      </c>
    </row>
    <row r="69" spans="1:19" x14ac:dyDescent="0.3">
      <c r="A69" s="79"/>
      <c r="B69" s="79"/>
      <c r="Q69" s="78" t="str">
        <f>IFERROR(INDEX(CustomerDetails!$A$1:$C$469,CustomerDetails!$P55,COLUMNS($Q69:Q69)),"")</f>
        <v/>
      </c>
      <c r="R69" s="78" t="str">
        <f>IFERROR(INDEX(CustomerDetails!$A$1:$C$469,CustomerDetails!$P55,COLUMNS($Q69:R69)),"")</f>
        <v/>
      </c>
      <c r="S69" s="78" t="str">
        <f>IFERROR(INDEX(CustomerDetails!$A$1:$C$469,CustomerDetails!$P55,COLUMNS($Q69:S69)),"")</f>
        <v/>
      </c>
    </row>
    <row r="70" spans="1:19" x14ac:dyDescent="0.3">
      <c r="A70" s="79"/>
      <c r="B70" s="79"/>
      <c r="Q70" s="78" t="str">
        <f>IFERROR(INDEX(CustomerDetails!$A$1:$C$469,CustomerDetails!$P56,COLUMNS($Q70:Q70)),"")</f>
        <v/>
      </c>
      <c r="R70" s="78" t="str">
        <f>IFERROR(INDEX(CustomerDetails!$A$1:$C$469,CustomerDetails!$P56,COLUMNS($Q70:R70)),"")</f>
        <v/>
      </c>
      <c r="S70" s="78" t="str">
        <f>IFERROR(INDEX(CustomerDetails!$A$1:$C$469,CustomerDetails!$P56,COLUMNS($Q70:S70)),"")</f>
        <v/>
      </c>
    </row>
    <row r="71" spans="1:19" x14ac:dyDescent="0.3">
      <c r="A71" s="79"/>
      <c r="B71" s="79"/>
      <c r="Q71" s="78" t="str">
        <f>IFERROR(INDEX(CustomerDetails!$A$1:$C$469,CustomerDetails!$P57,COLUMNS($Q71:Q71)),"")</f>
        <v/>
      </c>
      <c r="R71" s="78" t="str">
        <f>IFERROR(INDEX(CustomerDetails!$A$1:$C$469,CustomerDetails!$P57,COLUMNS($Q71:R71)),"")</f>
        <v/>
      </c>
      <c r="S71" s="78" t="str">
        <f>IFERROR(INDEX(CustomerDetails!$A$1:$C$469,CustomerDetails!$P57,COLUMNS($Q71:S71)),"")</f>
        <v/>
      </c>
    </row>
    <row r="72" spans="1:19" x14ac:dyDescent="0.3">
      <c r="A72" s="79"/>
      <c r="B72" s="79"/>
      <c r="Q72" s="78" t="str">
        <f>IFERROR(INDEX(CustomerDetails!$A$1:$C$469,CustomerDetails!$P58,COLUMNS($Q72:Q72)),"")</f>
        <v/>
      </c>
      <c r="R72" s="78" t="str">
        <f>IFERROR(INDEX(CustomerDetails!$A$1:$C$469,CustomerDetails!$P58,COLUMNS($Q72:R72)),"")</f>
        <v/>
      </c>
      <c r="S72" s="78" t="str">
        <f>IFERROR(INDEX(CustomerDetails!$A$1:$C$469,CustomerDetails!$P58,COLUMNS($Q72:S72)),"")</f>
        <v/>
      </c>
    </row>
    <row r="73" spans="1:19" x14ac:dyDescent="0.3">
      <c r="A73" s="79"/>
      <c r="B73" s="79"/>
      <c r="Q73" s="78" t="str">
        <f>IFERROR(INDEX(CustomerDetails!$A$1:$C$469,CustomerDetails!$P59,COLUMNS($Q73:Q73)),"")</f>
        <v/>
      </c>
      <c r="R73" s="78" t="str">
        <f>IFERROR(INDEX(CustomerDetails!$A$1:$C$469,CustomerDetails!$P59,COLUMNS($Q73:R73)),"")</f>
        <v/>
      </c>
      <c r="S73" s="78" t="str">
        <f>IFERROR(INDEX(CustomerDetails!$A$1:$C$469,CustomerDetails!$P59,COLUMNS($Q73:S73)),"")</f>
        <v/>
      </c>
    </row>
    <row r="74" spans="1:19" x14ac:dyDescent="0.3">
      <c r="A74" s="79"/>
      <c r="B74" s="79"/>
      <c r="Q74" s="78" t="str">
        <f>IFERROR(INDEX(CustomerDetails!$A$1:$C$469,CustomerDetails!$P60,COLUMNS($Q74:Q74)),"")</f>
        <v/>
      </c>
      <c r="R74" s="78" t="str">
        <f>IFERROR(INDEX(CustomerDetails!$A$1:$C$469,CustomerDetails!$P60,COLUMNS($Q74:R74)),"")</f>
        <v/>
      </c>
      <c r="S74" s="78" t="str">
        <f>IFERROR(INDEX(CustomerDetails!$A$1:$C$469,CustomerDetails!$P60,COLUMNS($Q74:S74)),"")</f>
        <v/>
      </c>
    </row>
    <row r="75" spans="1:19" x14ac:dyDescent="0.3">
      <c r="A75" s="79"/>
      <c r="B75" s="79"/>
      <c r="Q75" s="78" t="str">
        <f>IFERROR(INDEX(CustomerDetails!$A$1:$C$469,CustomerDetails!$P61,COLUMNS($Q75:Q75)),"")</f>
        <v/>
      </c>
      <c r="R75" s="78" t="str">
        <f>IFERROR(INDEX(CustomerDetails!$A$1:$C$469,CustomerDetails!$P61,COLUMNS($Q75:R75)),"")</f>
        <v/>
      </c>
      <c r="S75" s="78" t="str">
        <f>IFERROR(INDEX(CustomerDetails!$A$1:$C$469,CustomerDetails!$P61,COLUMNS($Q75:S75)),"")</f>
        <v/>
      </c>
    </row>
    <row r="76" spans="1:19" x14ac:dyDescent="0.3">
      <c r="A76" s="79"/>
      <c r="B76" s="79"/>
      <c r="Q76" s="78" t="str">
        <f>IFERROR(INDEX(CustomerDetails!$A$1:$C$469,CustomerDetails!$P62,COLUMNS($Q76:Q76)),"")</f>
        <v/>
      </c>
      <c r="R76" s="78" t="str">
        <f>IFERROR(INDEX(CustomerDetails!$A$1:$C$469,CustomerDetails!$P62,COLUMNS($Q76:R76)),"")</f>
        <v/>
      </c>
      <c r="S76" s="78" t="str">
        <f>IFERROR(INDEX(CustomerDetails!$A$1:$C$469,CustomerDetails!$P62,COLUMNS($Q76:S76)),"")</f>
        <v/>
      </c>
    </row>
    <row r="77" spans="1:19" x14ac:dyDescent="0.3">
      <c r="A77" s="79"/>
      <c r="B77" s="79"/>
      <c r="Q77" s="78" t="str">
        <f>IFERROR(INDEX(CustomerDetails!$A$1:$C$469,CustomerDetails!$P63,COLUMNS($Q77:Q77)),"")</f>
        <v/>
      </c>
      <c r="R77" s="78" t="str">
        <f>IFERROR(INDEX(CustomerDetails!$A$1:$C$469,CustomerDetails!$P63,COLUMNS($Q77:R77)),"")</f>
        <v/>
      </c>
      <c r="S77" s="78" t="str">
        <f>IFERROR(INDEX(CustomerDetails!$A$1:$C$469,CustomerDetails!$P63,COLUMNS($Q77:S77)),"")</f>
        <v/>
      </c>
    </row>
    <row r="78" spans="1:19" x14ac:dyDescent="0.3">
      <c r="A78" s="79"/>
      <c r="B78" s="79"/>
      <c r="Q78" s="78" t="str">
        <f>IFERROR(INDEX(CustomerDetails!$A$1:$C$469,CustomerDetails!$P64,COLUMNS($Q78:Q78)),"")</f>
        <v/>
      </c>
      <c r="R78" s="78" t="str">
        <f>IFERROR(INDEX(CustomerDetails!$A$1:$C$469,CustomerDetails!$P64,COLUMNS($Q78:R78)),"")</f>
        <v/>
      </c>
      <c r="S78" s="78" t="str">
        <f>IFERROR(INDEX(CustomerDetails!$A$1:$C$469,CustomerDetails!$P64,COLUMNS($Q78:S78)),"")</f>
        <v/>
      </c>
    </row>
    <row r="79" spans="1:19" x14ac:dyDescent="0.3">
      <c r="A79" s="79"/>
      <c r="B79" s="79"/>
      <c r="Q79" s="78" t="str">
        <f>IFERROR(INDEX(CustomerDetails!$A$1:$C$469,CustomerDetails!$P65,COLUMNS($Q79:Q79)),"")</f>
        <v/>
      </c>
      <c r="R79" s="78" t="str">
        <f>IFERROR(INDEX(CustomerDetails!$A$1:$C$469,CustomerDetails!$P65,COLUMNS($Q79:R79)),"")</f>
        <v/>
      </c>
      <c r="S79" s="78" t="str">
        <f>IFERROR(INDEX(CustomerDetails!$A$1:$C$469,CustomerDetails!$P65,COLUMNS($Q79:S79)),"")</f>
        <v/>
      </c>
    </row>
    <row r="80" spans="1:19" x14ac:dyDescent="0.3">
      <c r="A80" s="79"/>
      <c r="B80" s="79"/>
      <c r="Q80" s="78" t="str">
        <f>IFERROR(INDEX(CustomerDetails!$A$1:$C$469,CustomerDetails!$P66,COLUMNS($Q80:Q80)),"")</f>
        <v/>
      </c>
      <c r="R80" s="78" t="str">
        <f>IFERROR(INDEX(CustomerDetails!$A$1:$C$469,CustomerDetails!$P66,COLUMNS($Q80:R80)),"")</f>
        <v/>
      </c>
      <c r="S80" s="78" t="str">
        <f>IFERROR(INDEX(CustomerDetails!$A$1:$C$469,CustomerDetails!$P66,COLUMNS($Q80:S80)),"")</f>
        <v/>
      </c>
    </row>
    <row r="81" spans="1:19" x14ac:dyDescent="0.3">
      <c r="A81" s="79"/>
      <c r="B81" s="79"/>
      <c r="Q81" s="78" t="str">
        <f>IFERROR(INDEX(CustomerDetails!$A$1:$C$469,CustomerDetails!$P67,COLUMNS($Q81:Q81)),"")</f>
        <v/>
      </c>
      <c r="R81" s="78" t="str">
        <f>IFERROR(INDEX(CustomerDetails!$A$1:$C$469,CustomerDetails!$P67,COLUMNS($Q81:R81)),"")</f>
        <v/>
      </c>
      <c r="S81" s="78" t="str">
        <f>IFERROR(INDEX(CustomerDetails!$A$1:$C$469,CustomerDetails!$P67,COLUMNS($Q81:S81)),"")</f>
        <v/>
      </c>
    </row>
    <row r="82" spans="1:19" x14ac:dyDescent="0.3">
      <c r="A82" s="79"/>
      <c r="B82" s="79"/>
      <c r="Q82" s="78" t="str">
        <f>IFERROR(INDEX(CustomerDetails!$A$1:$C$469,CustomerDetails!$P68,COLUMNS($Q82:Q82)),"")</f>
        <v/>
      </c>
      <c r="R82" s="78" t="str">
        <f>IFERROR(INDEX(CustomerDetails!$A$1:$C$469,CustomerDetails!$P68,COLUMNS($Q82:R82)),"")</f>
        <v/>
      </c>
      <c r="S82" s="78" t="str">
        <f>IFERROR(INDEX(CustomerDetails!$A$1:$C$469,CustomerDetails!$P68,COLUMNS($Q82:S82)),"")</f>
        <v/>
      </c>
    </row>
    <row r="83" spans="1:19" x14ac:dyDescent="0.3">
      <c r="A83" s="79"/>
      <c r="B83" s="79"/>
      <c r="Q83" s="78" t="str">
        <f>IFERROR(INDEX(CustomerDetails!$A$1:$C$469,CustomerDetails!$P69,COLUMNS($Q83:Q83)),"")</f>
        <v/>
      </c>
      <c r="R83" s="78" t="str">
        <f>IFERROR(INDEX(CustomerDetails!$A$1:$C$469,CustomerDetails!$P69,COLUMNS($Q83:R83)),"")</f>
        <v/>
      </c>
      <c r="S83" s="78" t="str">
        <f>IFERROR(INDEX(CustomerDetails!$A$1:$C$469,CustomerDetails!$P69,COLUMNS($Q83:S83)),"")</f>
        <v/>
      </c>
    </row>
    <row r="84" spans="1:19" x14ac:dyDescent="0.3">
      <c r="A84" s="79"/>
      <c r="B84" s="79"/>
      <c r="Q84" s="78" t="str">
        <f>IFERROR(INDEX(CustomerDetails!$A$1:$C$469,CustomerDetails!$P70,COLUMNS($Q84:Q84)),"")</f>
        <v/>
      </c>
      <c r="R84" s="78" t="str">
        <f>IFERROR(INDEX(CustomerDetails!$A$1:$C$469,CustomerDetails!$P70,COLUMNS($Q84:R84)),"")</f>
        <v/>
      </c>
      <c r="S84" s="78" t="str">
        <f>IFERROR(INDEX(CustomerDetails!$A$1:$C$469,CustomerDetails!$P70,COLUMNS($Q84:S84)),"")</f>
        <v/>
      </c>
    </row>
    <row r="85" spans="1:19" x14ac:dyDescent="0.3">
      <c r="A85" s="79"/>
      <c r="B85" s="79"/>
      <c r="Q85" s="78" t="str">
        <f>IFERROR(INDEX(CustomerDetails!$A$1:$C$469,CustomerDetails!$P71,COLUMNS($Q85:Q85)),"")</f>
        <v/>
      </c>
      <c r="R85" s="78" t="str">
        <f>IFERROR(INDEX(CustomerDetails!$A$1:$C$469,CustomerDetails!$P71,COLUMNS($Q85:R85)),"")</f>
        <v/>
      </c>
      <c r="S85" s="78" t="str">
        <f>IFERROR(INDEX(CustomerDetails!$A$1:$C$469,CustomerDetails!$P71,COLUMNS($Q85:S85)),"")</f>
        <v/>
      </c>
    </row>
    <row r="86" spans="1:19" x14ac:dyDescent="0.3">
      <c r="A86" s="79"/>
      <c r="B86" s="79"/>
      <c r="Q86" s="78" t="str">
        <f>IFERROR(INDEX(CustomerDetails!$A$1:$C$469,CustomerDetails!$P72,COLUMNS($Q86:Q86)),"")</f>
        <v/>
      </c>
      <c r="R86" s="78" t="str">
        <f>IFERROR(INDEX(CustomerDetails!$A$1:$C$469,CustomerDetails!$P72,COLUMNS($Q86:R86)),"")</f>
        <v/>
      </c>
      <c r="S86" s="78" t="str">
        <f>IFERROR(INDEX(CustomerDetails!$A$1:$C$469,CustomerDetails!$P72,COLUMNS($Q86:S86)),"")</f>
        <v/>
      </c>
    </row>
    <row r="87" spans="1:19" x14ac:dyDescent="0.3">
      <c r="A87" s="79"/>
      <c r="B87" s="79"/>
      <c r="Q87" s="78" t="str">
        <f>IFERROR(INDEX(CustomerDetails!$A$1:$C$469,CustomerDetails!$P73,COLUMNS($Q87:Q87)),"")</f>
        <v/>
      </c>
      <c r="R87" s="78" t="str">
        <f>IFERROR(INDEX(CustomerDetails!$A$1:$C$469,CustomerDetails!$P73,COLUMNS($Q87:R87)),"")</f>
        <v/>
      </c>
      <c r="S87" s="78" t="str">
        <f>IFERROR(INDEX(CustomerDetails!$A$1:$C$469,CustomerDetails!$P73,COLUMNS($Q87:S87)),"")</f>
        <v/>
      </c>
    </row>
    <row r="88" spans="1:19" x14ac:dyDescent="0.3">
      <c r="A88" s="79"/>
      <c r="B88" s="79"/>
      <c r="Q88" s="78" t="str">
        <f>IFERROR(INDEX(CustomerDetails!$A$1:$C$469,CustomerDetails!$P74,COLUMNS($Q88:Q88)),"")</f>
        <v/>
      </c>
      <c r="R88" s="78" t="str">
        <f>IFERROR(INDEX(CustomerDetails!$A$1:$C$469,CustomerDetails!$P74,COLUMNS($Q88:R88)),"")</f>
        <v/>
      </c>
      <c r="S88" s="78" t="str">
        <f>IFERROR(INDEX(CustomerDetails!$A$1:$C$469,CustomerDetails!$P74,COLUMNS($Q88:S88)),"")</f>
        <v/>
      </c>
    </row>
    <row r="89" spans="1:19" x14ac:dyDescent="0.3">
      <c r="A89" s="79"/>
      <c r="B89" s="79"/>
      <c r="Q89" s="78" t="str">
        <f>IFERROR(INDEX(CustomerDetails!$A$1:$C$469,CustomerDetails!$P75,COLUMNS($Q89:Q89)),"")</f>
        <v/>
      </c>
      <c r="R89" s="78" t="str">
        <f>IFERROR(INDEX(CustomerDetails!$A$1:$C$469,CustomerDetails!$P75,COLUMNS($Q89:R89)),"")</f>
        <v/>
      </c>
      <c r="S89" s="78" t="str">
        <f>IFERROR(INDEX(CustomerDetails!$A$1:$C$469,CustomerDetails!$P75,COLUMNS($Q89:S89)),"")</f>
        <v/>
      </c>
    </row>
    <row r="90" spans="1:19" x14ac:dyDescent="0.3">
      <c r="A90" s="79"/>
      <c r="B90" s="79"/>
      <c r="Q90" s="78" t="str">
        <f>IFERROR(INDEX(CustomerDetails!$A$1:$C$469,CustomerDetails!$P76,COLUMNS($Q90:Q90)),"")</f>
        <v/>
      </c>
      <c r="R90" s="78" t="str">
        <f>IFERROR(INDEX(CustomerDetails!$A$1:$C$469,CustomerDetails!$P76,COLUMNS($Q90:R90)),"")</f>
        <v/>
      </c>
      <c r="S90" s="78" t="str">
        <f>IFERROR(INDEX(CustomerDetails!$A$1:$C$469,CustomerDetails!$P76,COLUMNS($Q90:S90)),"")</f>
        <v/>
      </c>
    </row>
    <row r="91" spans="1:19" x14ac:dyDescent="0.3">
      <c r="A91" s="79"/>
      <c r="B91" s="79"/>
      <c r="Q91" s="78" t="str">
        <f>IFERROR(INDEX(CustomerDetails!$A$1:$C$469,CustomerDetails!$P77,COLUMNS($Q91:Q91)),"")</f>
        <v/>
      </c>
      <c r="R91" s="78" t="str">
        <f>IFERROR(INDEX(CustomerDetails!$A$1:$C$469,CustomerDetails!$P77,COLUMNS($Q91:R91)),"")</f>
        <v/>
      </c>
      <c r="S91" s="78" t="str">
        <f>IFERROR(INDEX(CustomerDetails!$A$1:$C$469,CustomerDetails!$P77,COLUMNS($Q91:S91)),"")</f>
        <v/>
      </c>
    </row>
    <row r="92" spans="1:19" x14ac:dyDescent="0.3">
      <c r="A92" s="79"/>
      <c r="B92" s="79"/>
      <c r="Q92" s="78" t="str">
        <f>IFERROR(INDEX(CustomerDetails!$A$1:$C$469,CustomerDetails!$P78,COLUMNS($Q92:Q92)),"")</f>
        <v/>
      </c>
      <c r="R92" s="78" t="str">
        <f>IFERROR(INDEX(CustomerDetails!$A$1:$C$469,CustomerDetails!$P78,COLUMNS($Q92:R92)),"")</f>
        <v/>
      </c>
      <c r="S92" s="78" t="str">
        <f>IFERROR(INDEX(CustomerDetails!$A$1:$C$469,CustomerDetails!$P78,COLUMNS($Q92:S92)),"")</f>
        <v/>
      </c>
    </row>
    <row r="93" spans="1:19" x14ac:dyDescent="0.3">
      <c r="A93" s="79"/>
      <c r="B93" s="79"/>
      <c r="Q93" s="78" t="str">
        <f>IFERROR(INDEX(CustomerDetails!$A$1:$C$469,CustomerDetails!$P79,COLUMNS($Q93:Q93)),"")</f>
        <v/>
      </c>
      <c r="R93" s="78" t="str">
        <f>IFERROR(INDEX(CustomerDetails!$A$1:$C$469,CustomerDetails!$P79,COLUMNS($Q93:R93)),"")</f>
        <v/>
      </c>
      <c r="S93" s="78" t="str">
        <f>IFERROR(INDEX(CustomerDetails!$A$1:$C$469,CustomerDetails!$P79,COLUMNS($Q93:S93)),"")</f>
        <v/>
      </c>
    </row>
    <row r="94" spans="1:19" x14ac:dyDescent="0.3">
      <c r="A94" s="79"/>
      <c r="B94" s="79"/>
      <c r="Q94" s="78" t="str">
        <f>IFERROR(INDEX(CustomerDetails!$A$1:$C$469,CustomerDetails!$P80,COLUMNS($Q94:Q94)),"")</f>
        <v/>
      </c>
      <c r="R94" s="78" t="str">
        <f>IFERROR(INDEX(CustomerDetails!$A$1:$C$469,CustomerDetails!$P80,COLUMNS($Q94:R94)),"")</f>
        <v/>
      </c>
      <c r="S94" s="78" t="str">
        <f>IFERROR(INDEX(CustomerDetails!$A$1:$C$469,CustomerDetails!$P80,COLUMNS($Q94:S94)),"")</f>
        <v/>
      </c>
    </row>
    <row r="95" spans="1:19" x14ac:dyDescent="0.3">
      <c r="A95" s="79"/>
      <c r="B95" s="79"/>
      <c r="Q95" s="78" t="str">
        <f>IFERROR(INDEX(CustomerDetails!$A$1:$C$469,CustomerDetails!$P81,COLUMNS($Q95:Q95)),"")</f>
        <v/>
      </c>
      <c r="R95" s="78" t="str">
        <f>IFERROR(INDEX(CustomerDetails!$A$1:$C$469,CustomerDetails!$P81,COLUMNS($Q95:R95)),"")</f>
        <v/>
      </c>
      <c r="S95" s="78" t="str">
        <f>IFERROR(INDEX(CustomerDetails!$A$1:$C$469,CustomerDetails!$P81,COLUMNS($Q95:S95)),"")</f>
        <v/>
      </c>
    </row>
    <row r="96" spans="1:19" x14ac:dyDescent="0.3">
      <c r="A96" s="79"/>
      <c r="B96" s="79"/>
      <c r="Q96" s="78" t="str">
        <f>IFERROR(INDEX(CustomerDetails!$A$1:$C$469,CustomerDetails!$P82,COLUMNS($Q96:Q96)),"")</f>
        <v/>
      </c>
      <c r="R96" s="78" t="str">
        <f>IFERROR(INDEX(CustomerDetails!$A$1:$C$469,CustomerDetails!$P82,COLUMNS($Q96:R96)),"")</f>
        <v/>
      </c>
      <c r="S96" s="78" t="str">
        <f>IFERROR(INDEX(CustomerDetails!$A$1:$C$469,CustomerDetails!$P82,COLUMNS($Q96:S96)),"")</f>
        <v/>
      </c>
    </row>
    <row r="97" spans="1:19" x14ac:dyDescent="0.3">
      <c r="A97" s="79"/>
      <c r="B97" s="79"/>
      <c r="Q97" s="78" t="str">
        <f>IFERROR(INDEX(CustomerDetails!$A$1:$C$469,CustomerDetails!$P83,COLUMNS($Q97:Q97)),"")</f>
        <v/>
      </c>
      <c r="R97" s="78" t="str">
        <f>IFERROR(INDEX(CustomerDetails!$A$1:$C$469,CustomerDetails!$P83,COLUMNS($Q97:R97)),"")</f>
        <v/>
      </c>
      <c r="S97" s="78" t="str">
        <f>IFERROR(INDEX(CustomerDetails!$A$1:$C$469,CustomerDetails!$P83,COLUMNS($Q97:S97)),"")</f>
        <v/>
      </c>
    </row>
    <row r="98" spans="1:19" x14ac:dyDescent="0.3">
      <c r="A98" s="79"/>
      <c r="B98" s="79"/>
      <c r="Q98" s="78" t="str">
        <f>IFERROR(INDEX(CustomerDetails!$A$1:$C$469,CustomerDetails!$P84,COLUMNS($Q98:Q98)),"")</f>
        <v/>
      </c>
      <c r="R98" s="78" t="str">
        <f>IFERROR(INDEX(CustomerDetails!$A$1:$C$469,CustomerDetails!$P84,COLUMNS($Q98:R98)),"")</f>
        <v/>
      </c>
      <c r="S98" s="78" t="str">
        <f>IFERROR(INDEX(CustomerDetails!$A$1:$C$469,CustomerDetails!$P84,COLUMNS($Q98:S98)),"")</f>
        <v/>
      </c>
    </row>
    <row r="99" spans="1:19" x14ac:dyDescent="0.3">
      <c r="A99" s="79"/>
      <c r="B99" s="79"/>
      <c r="Q99" s="78" t="str">
        <f>IFERROR(INDEX(CustomerDetails!$A$1:$C$469,CustomerDetails!$P85,COLUMNS($Q99:Q99)),"")</f>
        <v/>
      </c>
      <c r="R99" s="78" t="str">
        <f>IFERROR(INDEX(CustomerDetails!$A$1:$C$469,CustomerDetails!$P85,COLUMNS($Q99:R99)),"")</f>
        <v/>
      </c>
      <c r="S99" s="78" t="str">
        <f>IFERROR(INDEX(CustomerDetails!$A$1:$C$469,CustomerDetails!$P85,COLUMNS($Q99:S99)),"")</f>
        <v/>
      </c>
    </row>
    <row r="100" spans="1:19" x14ac:dyDescent="0.3">
      <c r="A100" s="79"/>
      <c r="B100" s="79"/>
      <c r="Q100" s="78" t="str">
        <f>IFERROR(INDEX(CustomerDetails!$A$1:$C$469,CustomerDetails!$P86,COLUMNS($Q100:Q100)),"")</f>
        <v/>
      </c>
      <c r="R100" s="78" t="str">
        <f>IFERROR(INDEX(CustomerDetails!$A$1:$C$469,CustomerDetails!$P86,COLUMNS($Q100:R100)),"")</f>
        <v/>
      </c>
      <c r="S100" s="78" t="str">
        <f>IFERROR(INDEX(CustomerDetails!$A$1:$C$469,CustomerDetails!$P86,COLUMNS($Q100:S100)),"")</f>
        <v/>
      </c>
    </row>
    <row r="101" spans="1:19" x14ac:dyDescent="0.3">
      <c r="A101" s="79"/>
      <c r="B101" s="79"/>
      <c r="Q101" s="78" t="str">
        <f>IFERROR(INDEX(CustomerDetails!$A$1:$C$469,CustomerDetails!$P87,COLUMNS($Q101:Q101)),"")</f>
        <v/>
      </c>
      <c r="R101" s="78" t="str">
        <f>IFERROR(INDEX(CustomerDetails!$A$1:$C$469,CustomerDetails!$P87,COLUMNS($Q101:R101)),"")</f>
        <v/>
      </c>
      <c r="S101" s="78" t="str">
        <f>IFERROR(INDEX(CustomerDetails!$A$1:$C$469,CustomerDetails!$P87,COLUMNS($Q101:S101)),"")</f>
        <v/>
      </c>
    </row>
    <row r="102" spans="1:19" x14ac:dyDescent="0.3">
      <c r="A102" s="79"/>
      <c r="B102" s="79"/>
      <c r="Q102" s="78" t="str">
        <f>IFERROR(INDEX(CustomerDetails!$A$1:$C$469,CustomerDetails!$P88,COLUMNS($Q102:Q102)),"")</f>
        <v/>
      </c>
      <c r="R102" s="78" t="str">
        <f>IFERROR(INDEX(CustomerDetails!$A$1:$C$469,CustomerDetails!$P88,COLUMNS($Q102:R102)),"")</f>
        <v/>
      </c>
      <c r="S102" s="78" t="str">
        <f>IFERROR(INDEX(CustomerDetails!$A$1:$C$469,CustomerDetails!$P88,COLUMNS($Q102:S102)),"")</f>
        <v/>
      </c>
    </row>
    <row r="103" spans="1:19" x14ac:dyDescent="0.3">
      <c r="A103" s="79"/>
      <c r="B103" s="79"/>
      <c r="Q103" s="78" t="str">
        <f>IFERROR(INDEX(CustomerDetails!$A$1:$C$469,CustomerDetails!$P89,COLUMNS($Q103:Q103)),"")</f>
        <v/>
      </c>
      <c r="R103" s="78" t="str">
        <f>IFERROR(INDEX(CustomerDetails!$A$1:$C$469,CustomerDetails!$P89,COLUMNS($Q103:R103)),"")</f>
        <v/>
      </c>
      <c r="S103" s="78" t="str">
        <f>IFERROR(INDEX(CustomerDetails!$A$1:$C$469,CustomerDetails!$P89,COLUMNS($Q103:S103)),"")</f>
        <v/>
      </c>
    </row>
    <row r="104" spans="1:19" x14ac:dyDescent="0.3">
      <c r="A104" s="79"/>
      <c r="B104" s="79"/>
      <c r="Q104" s="78" t="str">
        <f>IFERROR(INDEX(CustomerDetails!$A$1:$C$469,CustomerDetails!$P90,COLUMNS($Q104:Q104)),"")</f>
        <v/>
      </c>
      <c r="R104" s="78" t="str">
        <f>IFERROR(INDEX(CustomerDetails!$A$1:$C$469,CustomerDetails!$P90,COLUMNS($Q104:R104)),"")</f>
        <v/>
      </c>
      <c r="S104" s="78" t="str">
        <f>IFERROR(INDEX(CustomerDetails!$A$1:$C$469,CustomerDetails!$P90,COLUMNS($Q104:S104)),"")</f>
        <v/>
      </c>
    </row>
    <row r="105" spans="1:19" x14ac:dyDescent="0.3">
      <c r="A105" s="79"/>
      <c r="B105" s="79"/>
      <c r="Q105" s="78" t="str">
        <f>IFERROR(INDEX(CustomerDetails!$A$1:$C$469,CustomerDetails!$P91,COLUMNS($Q105:Q105)),"")</f>
        <v/>
      </c>
      <c r="R105" s="78" t="str">
        <f>IFERROR(INDEX(CustomerDetails!$A$1:$C$469,CustomerDetails!$P91,COLUMNS($Q105:R105)),"")</f>
        <v/>
      </c>
      <c r="S105" s="78" t="str">
        <f>IFERROR(INDEX(CustomerDetails!$A$1:$C$469,CustomerDetails!$P91,COLUMNS($Q105:S105)),"")</f>
        <v/>
      </c>
    </row>
    <row r="106" spans="1:19" x14ac:dyDescent="0.3">
      <c r="A106" s="79"/>
      <c r="B106" s="79"/>
      <c r="Q106" s="78" t="str">
        <f>IFERROR(INDEX(CustomerDetails!$A$1:$C$469,CustomerDetails!$P92,COLUMNS($Q106:Q106)),"")</f>
        <v/>
      </c>
      <c r="R106" s="78" t="str">
        <f>IFERROR(INDEX(CustomerDetails!$A$1:$C$469,CustomerDetails!$P92,COLUMNS($Q106:R106)),"")</f>
        <v/>
      </c>
      <c r="S106" s="78" t="str">
        <f>IFERROR(INDEX(CustomerDetails!$A$1:$C$469,CustomerDetails!$P92,COLUMNS($Q106:S106)),"")</f>
        <v/>
      </c>
    </row>
    <row r="107" spans="1:19" x14ac:dyDescent="0.3">
      <c r="A107" s="79"/>
      <c r="B107" s="79"/>
      <c r="Q107" s="78" t="str">
        <f>IFERROR(INDEX(CustomerDetails!$A$1:$C$469,CustomerDetails!$P93,COLUMNS($Q107:Q107)),"")</f>
        <v/>
      </c>
      <c r="R107" s="78" t="str">
        <f>IFERROR(INDEX(CustomerDetails!$A$1:$C$469,CustomerDetails!$P93,COLUMNS($Q107:R107)),"")</f>
        <v/>
      </c>
      <c r="S107" s="78" t="str">
        <f>IFERROR(INDEX(CustomerDetails!$A$1:$C$469,CustomerDetails!$P93,COLUMNS($Q107:S107)),"")</f>
        <v/>
      </c>
    </row>
    <row r="108" spans="1:19" x14ac:dyDescent="0.3">
      <c r="A108" s="79"/>
      <c r="B108" s="79"/>
      <c r="Q108" s="78" t="str">
        <f>IFERROR(INDEX(CustomerDetails!$A$1:$C$469,CustomerDetails!$P94,COLUMNS($Q108:Q108)),"")</f>
        <v/>
      </c>
      <c r="R108" s="78" t="str">
        <f>IFERROR(INDEX(CustomerDetails!$A$1:$C$469,CustomerDetails!$P94,COLUMNS($Q108:R108)),"")</f>
        <v/>
      </c>
      <c r="S108" s="78" t="str">
        <f>IFERROR(INDEX(CustomerDetails!$A$1:$C$469,CustomerDetails!$P94,COLUMNS($Q108:S108)),"")</f>
        <v/>
      </c>
    </row>
    <row r="109" spans="1:19" x14ac:dyDescent="0.3">
      <c r="A109" s="79"/>
      <c r="B109" s="79"/>
      <c r="Q109" s="78" t="str">
        <f>IFERROR(INDEX(CustomerDetails!$A$1:$C$469,CustomerDetails!$P95,COLUMNS($Q109:Q109)),"")</f>
        <v/>
      </c>
      <c r="R109" s="78" t="str">
        <f>IFERROR(INDEX(CustomerDetails!$A$1:$C$469,CustomerDetails!$P95,COLUMNS($Q109:R109)),"")</f>
        <v/>
      </c>
      <c r="S109" s="78" t="str">
        <f>IFERROR(INDEX(CustomerDetails!$A$1:$C$469,CustomerDetails!$P95,COLUMNS($Q109:S109)),"")</f>
        <v/>
      </c>
    </row>
    <row r="110" spans="1:19" x14ac:dyDescent="0.3">
      <c r="A110" s="79"/>
      <c r="B110" s="79"/>
      <c r="Q110" s="78" t="str">
        <f>IFERROR(INDEX(CustomerDetails!$A$1:$C$469,CustomerDetails!$P96,COLUMNS($Q110:Q110)),"")</f>
        <v/>
      </c>
      <c r="R110" s="78" t="str">
        <f>IFERROR(INDEX(CustomerDetails!$A$1:$C$469,CustomerDetails!$P96,COLUMNS($Q110:R110)),"")</f>
        <v/>
      </c>
      <c r="S110" s="78" t="str">
        <f>IFERROR(INDEX(CustomerDetails!$A$1:$C$469,CustomerDetails!$P96,COLUMNS($Q110:S110)),"")</f>
        <v/>
      </c>
    </row>
    <row r="111" spans="1:19" x14ac:dyDescent="0.3">
      <c r="A111" s="79"/>
      <c r="B111" s="79"/>
      <c r="Q111" s="78" t="str">
        <f>IFERROR(INDEX(CustomerDetails!$A$1:$C$469,CustomerDetails!$P97,COLUMNS($Q111:Q111)),"")</f>
        <v/>
      </c>
      <c r="R111" s="78" t="str">
        <f>IFERROR(INDEX(CustomerDetails!$A$1:$C$469,CustomerDetails!$P97,COLUMNS($Q111:R111)),"")</f>
        <v/>
      </c>
      <c r="S111" s="78" t="str">
        <f>IFERROR(INDEX(CustomerDetails!$A$1:$C$469,CustomerDetails!$P97,COLUMNS($Q111:S111)),"")</f>
        <v/>
      </c>
    </row>
    <row r="112" spans="1:19" x14ac:dyDescent="0.3">
      <c r="A112" s="79"/>
      <c r="B112" s="79"/>
      <c r="Q112" s="78" t="str">
        <f>IFERROR(INDEX(CustomerDetails!$A$1:$C$469,CustomerDetails!$P98,COLUMNS($Q112:Q112)),"")</f>
        <v/>
      </c>
      <c r="R112" s="78" t="str">
        <f>IFERROR(INDEX(CustomerDetails!$A$1:$C$469,CustomerDetails!$P98,COLUMNS($Q112:R112)),"")</f>
        <v/>
      </c>
      <c r="S112" s="78" t="str">
        <f>IFERROR(INDEX(CustomerDetails!$A$1:$C$469,CustomerDetails!$P98,COLUMNS($Q112:S112)),"")</f>
        <v/>
      </c>
    </row>
    <row r="113" spans="1:19" x14ac:dyDescent="0.3">
      <c r="A113" s="79"/>
      <c r="B113" s="79"/>
      <c r="Q113" s="78" t="str">
        <f>IFERROR(INDEX(CustomerDetails!$A$1:$C$469,CustomerDetails!$P99,COLUMNS($Q113:Q113)),"")</f>
        <v/>
      </c>
      <c r="R113" s="78" t="str">
        <f>IFERROR(INDEX(CustomerDetails!$A$1:$C$469,CustomerDetails!$P99,COLUMNS($Q113:R113)),"")</f>
        <v/>
      </c>
      <c r="S113" s="78" t="str">
        <f>IFERROR(INDEX(CustomerDetails!$A$1:$C$469,CustomerDetails!$P99,COLUMNS($Q113:S113)),"")</f>
        <v/>
      </c>
    </row>
    <row r="114" spans="1:19" x14ac:dyDescent="0.3">
      <c r="A114" s="79"/>
      <c r="B114" s="79"/>
      <c r="Q114" s="78" t="str">
        <f>IFERROR(INDEX(CustomerDetails!$A$1:$C$469,CustomerDetails!$P100,COLUMNS($Q114:Q114)),"")</f>
        <v/>
      </c>
      <c r="R114" s="78" t="str">
        <f>IFERROR(INDEX(CustomerDetails!$A$1:$C$469,CustomerDetails!$P100,COLUMNS($Q114:R114)),"")</f>
        <v/>
      </c>
      <c r="S114" s="78" t="str">
        <f>IFERROR(INDEX(CustomerDetails!$A$1:$C$469,CustomerDetails!$P100,COLUMNS($Q114:S114)),"")</f>
        <v/>
      </c>
    </row>
    <row r="115" spans="1:19" x14ac:dyDescent="0.3">
      <c r="A115" s="79"/>
      <c r="B115" s="79"/>
      <c r="Q115" s="78" t="str">
        <f>IFERROR(INDEX(CustomerDetails!$A$1:$C$469,CustomerDetails!$P101,COLUMNS($Q115:Q115)),"")</f>
        <v/>
      </c>
      <c r="R115" s="78" t="str">
        <f>IFERROR(INDEX(CustomerDetails!$A$1:$C$469,CustomerDetails!$P101,COLUMNS($Q115:R115)),"")</f>
        <v/>
      </c>
      <c r="S115" s="78" t="str">
        <f>IFERROR(INDEX(CustomerDetails!$A$1:$C$469,CustomerDetails!$P101,COLUMNS($Q115:S115)),"")</f>
        <v/>
      </c>
    </row>
    <row r="116" spans="1:19" x14ac:dyDescent="0.3">
      <c r="A116" s="79"/>
      <c r="B116" s="79"/>
      <c r="Q116" s="78" t="str">
        <f>IFERROR(INDEX(CustomerDetails!$A$1:$C$469,CustomerDetails!$P102,COLUMNS($Q116:Q116)),"")</f>
        <v/>
      </c>
      <c r="R116" s="78" t="str">
        <f>IFERROR(INDEX(CustomerDetails!$A$1:$C$469,CustomerDetails!$P102,COLUMNS($Q116:R116)),"")</f>
        <v/>
      </c>
      <c r="S116" s="78" t="str">
        <f>IFERROR(INDEX(CustomerDetails!$A$1:$C$469,CustomerDetails!$P102,COLUMNS($Q116:S116)),"")</f>
        <v/>
      </c>
    </row>
    <row r="117" spans="1:19" x14ac:dyDescent="0.3">
      <c r="A117" s="79"/>
      <c r="B117" s="79"/>
      <c r="Q117" s="78" t="str">
        <f>IFERROR(INDEX(CustomerDetails!$A$1:$C$469,CustomerDetails!$P103,COLUMNS($Q117:Q117)),"")</f>
        <v/>
      </c>
      <c r="R117" s="78" t="str">
        <f>IFERROR(INDEX(CustomerDetails!$A$1:$C$469,CustomerDetails!$P103,COLUMNS($Q117:R117)),"")</f>
        <v/>
      </c>
      <c r="S117" s="78" t="str">
        <f>IFERROR(INDEX(CustomerDetails!$A$1:$C$469,CustomerDetails!$P103,COLUMNS($Q117:S117)),"")</f>
        <v/>
      </c>
    </row>
    <row r="118" spans="1:19" x14ac:dyDescent="0.3">
      <c r="A118" s="79"/>
      <c r="B118" s="79"/>
      <c r="Q118" s="78" t="str">
        <f>IFERROR(INDEX(CustomerDetails!$A$1:$C$469,CustomerDetails!$P104,COLUMNS($Q118:Q118)),"")</f>
        <v/>
      </c>
      <c r="R118" s="78" t="str">
        <f>IFERROR(INDEX(CustomerDetails!$A$1:$C$469,CustomerDetails!$P104,COLUMNS($Q118:R118)),"")</f>
        <v/>
      </c>
      <c r="S118" s="78" t="str">
        <f>IFERROR(INDEX(CustomerDetails!$A$1:$C$469,CustomerDetails!$P104,COLUMNS($Q118:S118)),"")</f>
        <v/>
      </c>
    </row>
    <row r="119" spans="1:19" x14ac:dyDescent="0.3">
      <c r="A119" s="79"/>
      <c r="B119" s="79"/>
      <c r="Q119" s="78" t="str">
        <f>IFERROR(INDEX(CustomerDetails!$A$1:$C$469,CustomerDetails!$P105,COLUMNS($Q119:Q119)),"")</f>
        <v/>
      </c>
      <c r="R119" s="78" t="str">
        <f>IFERROR(INDEX(CustomerDetails!$A$1:$C$469,CustomerDetails!$P105,COLUMNS($Q119:R119)),"")</f>
        <v/>
      </c>
      <c r="S119" s="78" t="str">
        <f>IFERROR(INDEX(CustomerDetails!$A$1:$C$469,CustomerDetails!$P105,COLUMNS($Q119:S119)),"")</f>
        <v/>
      </c>
    </row>
    <row r="120" spans="1:19" x14ac:dyDescent="0.3">
      <c r="A120" s="79"/>
      <c r="B120" s="79"/>
      <c r="Q120" s="78" t="str">
        <f>IFERROR(INDEX(CustomerDetails!$A$1:$C$469,CustomerDetails!$P106,COLUMNS($Q120:Q120)),"")</f>
        <v/>
      </c>
      <c r="R120" s="78" t="str">
        <f>IFERROR(INDEX(CustomerDetails!$A$1:$C$469,CustomerDetails!$P106,COLUMNS($Q120:R120)),"")</f>
        <v/>
      </c>
      <c r="S120" s="78" t="str">
        <f>IFERROR(INDEX(CustomerDetails!$A$1:$C$469,CustomerDetails!$P106,COLUMNS($Q120:S120)),"")</f>
        <v/>
      </c>
    </row>
    <row r="121" spans="1:19" x14ac:dyDescent="0.3">
      <c r="A121" s="79"/>
      <c r="B121" s="79"/>
      <c r="Q121" s="78" t="str">
        <f>IFERROR(INDEX(CustomerDetails!$A$1:$C$469,CustomerDetails!$P107,COLUMNS($Q121:Q121)),"")</f>
        <v/>
      </c>
      <c r="R121" s="78" t="str">
        <f>IFERROR(INDEX(CustomerDetails!$A$1:$C$469,CustomerDetails!$P107,COLUMNS($Q121:R121)),"")</f>
        <v/>
      </c>
      <c r="S121" s="78" t="str">
        <f>IFERROR(INDEX(CustomerDetails!$A$1:$C$469,CustomerDetails!$P107,COLUMNS($Q121:S121)),"")</f>
        <v/>
      </c>
    </row>
    <row r="122" spans="1:19" x14ac:dyDescent="0.3">
      <c r="A122" s="79"/>
      <c r="B122" s="79"/>
      <c r="Q122" s="78" t="str">
        <f>IFERROR(INDEX(CustomerDetails!$A$1:$C$469,CustomerDetails!$P108,COLUMNS($Q122:Q122)),"")</f>
        <v/>
      </c>
      <c r="R122" s="78" t="str">
        <f>IFERROR(INDEX(CustomerDetails!$A$1:$C$469,CustomerDetails!$P108,COLUMNS($Q122:R122)),"")</f>
        <v/>
      </c>
      <c r="S122" s="78" t="str">
        <f>IFERROR(INDEX(CustomerDetails!$A$1:$C$469,CustomerDetails!$P108,COLUMNS($Q122:S122)),"")</f>
        <v/>
      </c>
    </row>
    <row r="123" spans="1:19" x14ac:dyDescent="0.3">
      <c r="A123" s="79"/>
      <c r="B123" s="79"/>
      <c r="Q123" s="78" t="str">
        <f>IFERROR(INDEX(CustomerDetails!$A$1:$C$469,CustomerDetails!$P109,COLUMNS($Q123:Q123)),"")</f>
        <v/>
      </c>
      <c r="R123" s="78" t="str">
        <f>IFERROR(INDEX(CustomerDetails!$A$1:$C$469,CustomerDetails!$P109,COLUMNS($Q123:R123)),"")</f>
        <v/>
      </c>
      <c r="S123" s="78" t="str">
        <f>IFERROR(INDEX(CustomerDetails!$A$1:$C$469,CustomerDetails!$P109,COLUMNS($Q123:S123)),"")</f>
        <v/>
      </c>
    </row>
    <row r="124" spans="1:19" x14ac:dyDescent="0.3">
      <c r="A124" s="79"/>
      <c r="B124" s="79"/>
      <c r="Q124" s="78" t="str">
        <f>IFERROR(INDEX(CustomerDetails!$A$1:$C$469,CustomerDetails!$P110,COLUMNS($Q124:Q124)),"")</f>
        <v/>
      </c>
      <c r="R124" s="78" t="str">
        <f>IFERROR(INDEX(CustomerDetails!$A$1:$C$469,CustomerDetails!$P110,COLUMNS($Q124:R124)),"")</f>
        <v/>
      </c>
      <c r="S124" s="78" t="str">
        <f>IFERROR(INDEX(CustomerDetails!$A$1:$C$469,CustomerDetails!$P110,COLUMNS($Q124:S124)),"")</f>
        <v/>
      </c>
    </row>
    <row r="125" spans="1:19" x14ac:dyDescent="0.3">
      <c r="A125" s="79"/>
      <c r="B125" s="79"/>
      <c r="Q125" s="78" t="str">
        <f>IFERROR(INDEX(CustomerDetails!$A$1:$C$469,CustomerDetails!$P111,COLUMNS($Q125:Q125)),"")</f>
        <v/>
      </c>
      <c r="R125" s="78" t="str">
        <f>IFERROR(INDEX(CustomerDetails!$A$1:$C$469,CustomerDetails!$P111,COLUMNS($Q125:R125)),"")</f>
        <v/>
      </c>
      <c r="S125" s="78" t="str">
        <f>IFERROR(INDEX(CustomerDetails!$A$1:$C$469,CustomerDetails!$P111,COLUMNS($Q125:S125)),"")</f>
        <v/>
      </c>
    </row>
    <row r="126" spans="1:19" x14ac:dyDescent="0.3">
      <c r="A126" s="79"/>
      <c r="B126" s="79"/>
      <c r="Q126" s="78" t="str">
        <f>IFERROR(INDEX(CustomerDetails!$A$1:$C$469,CustomerDetails!$P112,COLUMNS($Q126:Q126)),"")</f>
        <v/>
      </c>
      <c r="R126" s="78" t="str">
        <f>IFERROR(INDEX(CustomerDetails!$A$1:$C$469,CustomerDetails!$P112,COLUMNS($Q126:R126)),"")</f>
        <v/>
      </c>
      <c r="S126" s="78" t="str">
        <f>IFERROR(INDEX(CustomerDetails!$A$1:$C$469,CustomerDetails!$P112,COLUMNS($Q126:S126)),"")</f>
        <v/>
      </c>
    </row>
    <row r="127" spans="1:19" x14ac:dyDescent="0.3">
      <c r="A127" s="79"/>
      <c r="B127" s="79"/>
      <c r="Q127" s="78" t="str">
        <f>IFERROR(INDEX(CustomerDetails!$A$1:$C$469,CustomerDetails!$P113,COLUMNS($Q127:Q127)),"")</f>
        <v/>
      </c>
      <c r="R127" s="78" t="str">
        <f>IFERROR(INDEX(CustomerDetails!$A$1:$C$469,CustomerDetails!$P113,COLUMNS($Q127:R127)),"")</f>
        <v/>
      </c>
      <c r="S127" s="78" t="str">
        <f>IFERROR(INDEX(CustomerDetails!$A$1:$C$469,CustomerDetails!$P113,COLUMNS($Q127:S127)),"")</f>
        <v/>
      </c>
    </row>
    <row r="128" spans="1:19" x14ac:dyDescent="0.3">
      <c r="A128" s="79"/>
      <c r="B128" s="79"/>
      <c r="Q128" s="78" t="str">
        <f>IFERROR(INDEX(CustomerDetails!$A$1:$C$469,CustomerDetails!$P114,COLUMNS($Q128:Q128)),"")</f>
        <v/>
      </c>
      <c r="R128" s="78" t="str">
        <f>IFERROR(INDEX(CustomerDetails!$A$1:$C$469,CustomerDetails!$P114,COLUMNS($Q128:R128)),"")</f>
        <v/>
      </c>
      <c r="S128" s="78" t="str">
        <f>IFERROR(INDEX(CustomerDetails!$A$1:$C$469,CustomerDetails!$P114,COLUMNS($Q128:S128)),"")</f>
        <v/>
      </c>
    </row>
    <row r="129" spans="1:19" x14ac:dyDescent="0.3">
      <c r="A129" s="79"/>
      <c r="B129" s="79"/>
      <c r="Q129" s="78" t="str">
        <f>IFERROR(INDEX(CustomerDetails!$A$1:$C$469,CustomerDetails!$P115,COLUMNS($Q129:Q129)),"")</f>
        <v/>
      </c>
      <c r="R129" s="78" t="str">
        <f>IFERROR(INDEX(CustomerDetails!$A$1:$C$469,CustomerDetails!$P115,COLUMNS($Q129:R129)),"")</f>
        <v/>
      </c>
      <c r="S129" s="78" t="str">
        <f>IFERROR(INDEX(CustomerDetails!$A$1:$C$469,CustomerDetails!$P115,COLUMNS($Q129:S129)),"")</f>
        <v/>
      </c>
    </row>
    <row r="130" spans="1:19" x14ac:dyDescent="0.3">
      <c r="A130" s="79"/>
      <c r="B130" s="79"/>
      <c r="Q130" s="78" t="str">
        <f>IFERROR(INDEX(CustomerDetails!$A$1:$C$469,CustomerDetails!$P116,COLUMNS($Q130:Q130)),"")</f>
        <v/>
      </c>
      <c r="R130" s="78" t="str">
        <f>IFERROR(INDEX(CustomerDetails!$A$1:$C$469,CustomerDetails!$P116,COLUMNS($Q130:R130)),"")</f>
        <v/>
      </c>
      <c r="S130" s="78" t="str">
        <f>IFERROR(INDEX(CustomerDetails!$A$1:$C$469,CustomerDetails!$P116,COLUMNS($Q130:S130)),"")</f>
        <v/>
      </c>
    </row>
    <row r="131" spans="1:19" x14ac:dyDescent="0.3">
      <c r="A131" s="79"/>
      <c r="B131" s="79"/>
      <c r="Q131" s="78" t="str">
        <f>IFERROR(INDEX(CustomerDetails!$A$1:$C$469,CustomerDetails!$P117,COLUMNS($Q131:Q131)),"")</f>
        <v/>
      </c>
      <c r="R131" s="78" t="str">
        <f>IFERROR(INDEX(CustomerDetails!$A$1:$C$469,CustomerDetails!$P117,COLUMNS($Q131:R131)),"")</f>
        <v/>
      </c>
      <c r="S131" s="78" t="str">
        <f>IFERROR(INDEX(CustomerDetails!$A$1:$C$469,CustomerDetails!$P117,COLUMNS($Q131:S131)),"")</f>
        <v/>
      </c>
    </row>
    <row r="132" spans="1:19" x14ac:dyDescent="0.3">
      <c r="A132" s="79"/>
      <c r="B132" s="79"/>
      <c r="Q132" s="78" t="str">
        <f>IFERROR(INDEX(CustomerDetails!$A$1:$C$469,CustomerDetails!$P118,COLUMNS($Q132:Q132)),"")</f>
        <v/>
      </c>
      <c r="R132" s="78" t="str">
        <f>IFERROR(INDEX(CustomerDetails!$A$1:$C$469,CustomerDetails!$P118,COLUMNS($Q132:R132)),"")</f>
        <v/>
      </c>
      <c r="S132" s="78" t="str">
        <f>IFERROR(INDEX(CustomerDetails!$A$1:$C$469,CustomerDetails!$P118,COLUMNS($Q132:S132)),"")</f>
        <v/>
      </c>
    </row>
    <row r="133" spans="1:19" x14ac:dyDescent="0.3">
      <c r="A133" s="79"/>
      <c r="B133" s="79"/>
      <c r="Q133" s="78" t="str">
        <f>IFERROR(INDEX(CustomerDetails!$A$1:$C$469,CustomerDetails!$P119,COLUMNS($Q133:Q133)),"")</f>
        <v/>
      </c>
      <c r="R133" s="78" t="str">
        <f>IFERROR(INDEX(CustomerDetails!$A$1:$C$469,CustomerDetails!$P119,COLUMNS($Q133:R133)),"")</f>
        <v/>
      </c>
      <c r="S133" s="78" t="str">
        <f>IFERROR(INDEX(CustomerDetails!$A$1:$C$469,CustomerDetails!$P119,COLUMNS($Q133:S133)),"")</f>
        <v/>
      </c>
    </row>
    <row r="134" spans="1:19" x14ac:dyDescent="0.3">
      <c r="A134" s="79"/>
      <c r="B134" s="79"/>
      <c r="Q134" s="78" t="str">
        <f>IFERROR(INDEX(CustomerDetails!$A$1:$C$469,CustomerDetails!$P120,COLUMNS($Q134:Q134)),"")</f>
        <v/>
      </c>
      <c r="R134" s="78" t="str">
        <f>IFERROR(INDEX(CustomerDetails!$A$1:$C$469,CustomerDetails!$P120,COLUMNS($Q134:R134)),"")</f>
        <v/>
      </c>
      <c r="S134" s="78" t="str">
        <f>IFERROR(INDEX(CustomerDetails!$A$1:$C$469,CustomerDetails!$P120,COLUMNS($Q134:S134)),"")</f>
        <v/>
      </c>
    </row>
    <row r="135" spans="1:19" x14ac:dyDescent="0.3">
      <c r="A135" s="79"/>
      <c r="B135" s="79"/>
      <c r="Q135" s="78" t="str">
        <f>IFERROR(INDEX(CustomerDetails!$A$1:$C$469,CustomerDetails!$P121,COLUMNS($Q135:Q135)),"")</f>
        <v/>
      </c>
      <c r="R135" s="78" t="str">
        <f>IFERROR(INDEX(CustomerDetails!$A$1:$C$469,CustomerDetails!$P121,COLUMNS($Q135:R135)),"")</f>
        <v/>
      </c>
      <c r="S135" s="78" t="str">
        <f>IFERROR(INDEX(CustomerDetails!$A$1:$C$469,CustomerDetails!$P121,COLUMNS($Q135:S135)),"")</f>
        <v/>
      </c>
    </row>
    <row r="136" spans="1:19" x14ac:dyDescent="0.3">
      <c r="A136" s="79"/>
      <c r="B136" s="79"/>
      <c r="Q136" s="78" t="str">
        <f>IFERROR(INDEX(CustomerDetails!$A$1:$C$469,CustomerDetails!$P122,COLUMNS($Q136:Q136)),"")</f>
        <v/>
      </c>
      <c r="R136" s="78" t="str">
        <f>IFERROR(INDEX(CustomerDetails!$A$1:$C$469,CustomerDetails!$P122,COLUMNS($Q136:R136)),"")</f>
        <v/>
      </c>
      <c r="S136" s="78" t="str">
        <f>IFERROR(INDEX(CustomerDetails!$A$1:$C$469,CustomerDetails!$P122,COLUMNS($Q136:S136)),"")</f>
        <v/>
      </c>
    </row>
    <row r="137" spans="1:19" x14ac:dyDescent="0.3">
      <c r="A137" s="79"/>
      <c r="B137" s="79"/>
      <c r="Q137" s="78" t="str">
        <f>IFERROR(INDEX(CustomerDetails!$A$1:$C$469,CustomerDetails!$P123,COLUMNS($Q137:Q137)),"")</f>
        <v/>
      </c>
      <c r="R137" s="78" t="str">
        <f>IFERROR(INDEX(CustomerDetails!$A$1:$C$469,CustomerDetails!$P123,COLUMNS($Q137:R137)),"")</f>
        <v/>
      </c>
      <c r="S137" s="78" t="str">
        <f>IFERROR(INDEX(CustomerDetails!$A$1:$C$469,CustomerDetails!$P123,COLUMNS($Q137:S137)),"")</f>
        <v/>
      </c>
    </row>
    <row r="138" spans="1:19" x14ac:dyDescent="0.3">
      <c r="A138" s="79"/>
      <c r="B138" s="79"/>
      <c r="Q138" s="78" t="str">
        <f>IFERROR(INDEX(CustomerDetails!$A$1:$C$469,CustomerDetails!$P124,COLUMNS($Q138:Q138)),"")</f>
        <v/>
      </c>
      <c r="R138" s="78" t="str">
        <f>IFERROR(INDEX(CustomerDetails!$A$1:$C$469,CustomerDetails!$P124,COLUMNS($Q138:R138)),"")</f>
        <v/>
      </c>
      <c r="S138" s="78" t="str">
        <f>IFERROR(INDEX(CustomerDetails!$A$1:$C$469,CustomerDetails!$P124,COLUMNS($Q138:S138)),"")</f>
        <v/>
      </c>
    </row>
    <row r="139" spans="1:19" x14ac:dyDescent="0.3">
      <c r="A139" s="79"/>
      <c r="B139" s="79"/>
      <c r="Q139" s="78" t="str">
        <f>IFERROR(INDEX(CustomerDetails!$A$1:$C$469,CustomerDetails!$P125,COLUMNS($Q139:Q139)),"")</f>
        <v/>
      </c>
      <c r="R139" s="78" t="str">
        <f>IFERROR(INDEX(CustomerDetails!$A$1:$C$469,CustomerDetails!$P125,COLUMNS($Q139:R139)),"")</f>
        <v/>
      </c>
      <c r="S139" s="78" t="str">
        <f>IFERROR(INDEX(CustomerDetails!$A$1:$C$469,CustomerDetails!$P125,COLUMNS($Q139:S139)),"")</f>
        <v/>
      </c>
    </row>
    <row r="140" spans="1:19" x14ac:dyDescent="0.3">
      <c r="A140" s="79"/>
      <c r="B140" s="79"/>
      <c r="Q140" s="78" t="str">
        <f>IFERROR(INDEX(CustomerDetails!$A$1:$C$469,CustomerDetails!$P126,COLUMNS($Q140:Q140)),"")</f>
        <v/>
      </c>
      <c r="R140" s="78" t="str">
        <f>IFERROR(INDEX(CustomerDetails!$A$1:$C$469,CustomerDetails!$P126,COLUMNS($Q140:R140)),"")</f>
        <v/>
      </c>
      <c r="S140" s="78" t="str">
        <f>IFERROR(INDEX(CustomerDetails!$A$1:$C$469,CustomerDetails!$P126,COLUMNS($Q140:S140)),"")</f>
        <v/>
      </c>
    </row>
    <row r="141" spans="1:19" x14ac:dyDescent="0.3">
      <c r="A141" s="79"/>
      <c r="B141" s="79"/>
      <c r="Q141" s="78" t="str">
        <f>IFERROR(INDEX(CustomerDetails!$A$1:$C$469,CustomerDetails!$P127,COLUMNS($Q141:Q141)),"")</f>
        <v/>
      </c>
      <c r="R141" s="78" t="str">
        <f>IFERROR(INDEX(CustomerDetails!$A$1:$C$469,CustomerDetails!$P127,COLUMNS($Q141:R141)),"")</f>
        <v/>
      </c>
      <c r="S141" s="78" t="str">
        <f>IFERROR(INDEX(CustomerDetails!$A$1:$C$469,CustomerDetails!$P127,COLUMNS($Q141:S141)),"")</f>
        <v/>
      </c>
    </row>
    <row r="142" spans="1:19" x14ac:dyDescent="0.3">
      <c r="A142" s="79"/>
      <c r="B142" s="79"/>
      <c r="Q142" s="78" t="str">
        <f>IFERROR(INDEX(CustomerDetails!$A$1:$C$469,CustomerDetails!$P128,COLUMNS($Q142:Q142)),"")</f>
        <v/>
      </c>
      <c r="R142" s="78" t="str">
        <f>IFERROR(INDEX(CustomerDetails!$A$1:$C$469,CustomerDetails!$P128,COLUMNS($Q142:R142)),"")</f>
        <v/>
      </c>
      <c r="S142" s="78" t="str">
        <f>IFERROR(INDEX(CustomerDetails!$A$1:$C$469,CustomerDetails!$P128,COLUMNS($Q142:S142)),"")</f>
        <v/>
      </c>
    </row>
    <row r="143" spans="1:19" x14ac:dyDescent="0.3">
      <c r="A143" s="79"/>
      <c r="B143" s="79"/>
      <c r="Q143" s="78" t="str">
        <f>IFERROR(INDEX(CustomerDetails!$A$1:$C$469,CustomerDetails!$P129,COLUMNS($Q143:Q143)),"")</f>
        <v/>
      </c>
      <c r="R143" s="78" t="str">
        <f>IFERROR(INDEX(CustomerDetails!$A$1:$C$469,CustomerDetails!$P129,COLUMNS($Q143:R143)),"")</f>
        <v/>
      </c>
      <c r="S143" s="78" t="str">
        <f>IFERROR(INDEX(CustomerDetails!$A$1:$C$469,CustomerDetails!$P129,COLUMNS($Q143:S143)),"")</f>
        <v/>
      </c>
    </row>
    <row r="144" spans="1:19" x14ac:dyDescent="0.3">
      <c r="A144" s="79"/>
      <c r="B144" s="79"/>
      <c r="Q144" s="78" t="str">
        <f>IFERROR(INDEX(CustomerDetails!$A$1:$C$469,CustomerDetails!$P130,COLUMNS($Q144:Q144)),"")</f>
        <v/>
      </c>
      <c r="R144" s="78" t="str">
        <f>IFERROR(INDEX(CustomerDetails!$A$1:$C$469,CustomerDetails!$P130,COLUMNS($Q144:R144)),"")</f>
        <v/>
      </c>
      <c r="S144" s="78" t="str">
        <f>IFERROR(INDEX(CustomerDetails!$A$1:$C$469,CustomerDetails!$P130,COLUMNS($Q144:S144)),"")</f>
        <v/>
      </c>
    </row>
    <row r="145" spans="1:19" x14ac:dyDescent="0.3">
      <c r="A145" s="79"/>
      <c r="B145" s="79"/>
      <c r="Q145" s="78" t="str">
        <f>IFERROR(INDEX(CustomerDetails!$A$1:$C$469,CustomerDetails!$P131,COLUMNS($Q145:Q145)),"")</f>
        <v/>
      </c>
      <c r="R145" s="78" t="str">
        <f>IFERROR(INDEX(CustomerDetails!$A$1:$C$469,CustomerDetails!$P131,COLUMNS($Q145:R145)),"")</f>
        <v/>
      </c>
      <c r="S145" s="78" t="str">
        <f>IFERROR(INDEX(CustomerDetails!$A$1:$C$469,CustomerDetails!$P131,COLUMNS($Q145:S145)),"")</f>
        <v/>
      </c>
    </row>
    <row r="146" spans="1:19" x14ac:dyDescent="0.3">
      <c r="A146" s="79"/>
      <c r="B146" s="79"/>
      <c r="Q146" s="78" t="str">
        <f>IFERROR(INDEX(CustomerDetails!$A$1:$C$469,CustomerDetails!$P132,COLUMNS($Q146:Q146)),"")</f>
        <v/>
      </c>
      <c r="R146" s="78" t="str">
        <f>IFERROR(INDEX(CustomerDetails!$A$1:$C$469,CustomerDetails!$P132,COLUMNS($Q146:R146)),"")</f>
        <v/>
      </c>
      <c r="S146" s="78" t="str">
        <f>IFERROR(INDEX(CustomerDetails!$A$1:$C$469,CustomerDetails!$P132,COLUMNS($Q146:S146)),"")</f>
        <v/>
      </c>
    </row>
    <row r="147" spans="1:19" x14ac:dyDescent="0.3">
      <c r="A147" s="79"/>
      <c r="B147" s="79"/>
      <c r="Q147" s="78" t="str">
        <f>IFERROR(INDEX(CustomerDetails!$A$1:$C$469,CustomerDetails!$P133,COLUMNS($Q147:Q147)),"")</f>
        <v/>
      </c>
      <c r="R147" s="78" t="str">
        <f>IFERROR(INDEX(CustomerDetails!$A$1:$C$469,CustomerDetails!$P133,COLUMNS($Q147:R147)),"")</f>
        <v/>
      </c>
      <c r="S147" s="78" t="str">
        <f>IFERROR(INDEX(CustomerDetails!$A$1:$C$469,CustomerDetails!$P133,COLUMNS($Q147:S147)),"")</f>
        <v/>
      </c>
    </row>
    <row r="148" spans="1:19" x14ac:dyDescent="0.3">
      <c r="A148" s="79"/>
      <c r="B148" s="79"/>
      <c r="Q148" s="78" t="str">
        <f>IFERROR(INDEX(CustomerDetails!$A$1:$C$469,CustomerDetails!$P134,COLUMNS($Q148:Q148)),"")</f>
        <v/>
      </c>
      <c r="R148" s="78" t="str">
        <f>IFERROR(INDEX(CustomerDetails!$A$1:$C$469,CustomerDetails!$P134,COLUMNS($Q148:R148)),"")</f>
        <v/>
      </c>
      <c r="S148" s="78" t="str">
        <f>IFERROR(INDEX(CustomerDetails!$A$1:$C$469,CustomerDetails!$P134,COLUMNS($Q148:S148)),"")</f>
        <v/>
      </c>
    </row>
    <row r="149" spans="1:19" x14ac:dyDescent="0.3">
      <c r="A149" s="79"/>
      <c r="B149" s="79"/>
      <c r="Q149" s="78" t="str">
        <f>IFERROR(INDEX(CustomerDetails!$A$1:$C$469,CustomerDetails!$P135,COLUMNS($Q149:Q149)),"")</f>
        <v/>
      </c>
      <c r="R149" s="78" t="str">
        <f>IFERROR(INDEX(CustomerDetails!$A$1:$C$469,CustomerDetails!$P135,COLUMNS($Q149:R149)),"")</f>
        <v/>
      </c>
      <c r="S149" s="78" t="str">
        <f>IFERROR(INDEX(CustomerDetails!$A$1:$C$469,CustomerDetails!$P135,COLUMNS($Q149:S149)),"")</f>
        <v/>
      </c>
    </row>
    <row r="150" spans="1:19" x14ac:dyDescent="0.3">
      <c r="A150" s="79"/>
      <c r="B150" s="79"/>
      <c r="Q150" s="78" t="str">
        <f>IFERROR(INDEX(CustomerDetails!$A$1:$C$469,CustomerDetails!$P136,COLUMNS($Q150:Q150)),"")</f>
        <v/>
      </c>
      <c r="R150" s="78" t="str">
        <f>IFERROR(INDEX(CustomerDetails!$A$1:$C$469,CustomerDetails!$P136,COLUMNS($Q150:R150)),"")</f>
        <v/>
      </c>
      <c r="S150" s="78" t="str">
        <f>IFERROR(INDEX(CustomerDetails!$A$1:$C$469,CustomerDetails!$P136,COLUMNS($Q150:S150)),"")</f>
        <v/>
      </c>
    </row>
    <row r="151" spans="1:19" x14ac:dyDescent="0.3">
      <c r="A151" s="79"/>
      <c r="B151" s="79"/>
      <c r="Q151" s="78" t="str">
        <f>IFERROR(INDEX(CustomerDetails!$A$1:$C$469,CustomerDetails!$P137,COLUMNS($Q151:Q151)),"")</f>
        <v/>
      </c>
      <c r="R151" s="78" t="str">
        <f>IFERROR(INDEX(CustomerDetails!$A$1:$C$469,CustomerDetails!$P137,COLUMNS($Q151:R151)),"")</f>
        <v/>
      </c>
      <c r="S151" s="78" t="str">
        <f>IFERROR(INDEX(CustomerDetails!$A$1:$C$469,CustomerDetails!$P137,COLUMNS($Q151:S151)),"")</f>
        <v/>
      </c>
    </row>
    <row r="152" spans="1:19" x14ac:dyDescent="0.3">
      <c r="A152" s="79"/>
      <c r="B152" s="79"/>
      <c r="Q152" s="78" t="str">
        <f>IFERROR(INDEX(CustomerDetails!$A$1:$C$469,CustomerDetails!$P138,COLUMNS($Q152:Q152)),"")</f>
        <v/>
      </c>
      <c r="R152" s="78" t="str">
        <f>IFERROR(INDEX(CustomerDetails!$A$1:$C$469,CustomerDetails!$P138,COLUMNS($Q152:R152)),"")</f>
        <v/>
      </c>
      <c r="S152" s="78" t="str">
        <f>IFERROR(INDEX(CustomerDetails!$A$1:$C$469,CustomerDetails!$P138,COLUMNS($Q152:S152)),"")</f>
        <v/>
      </c>
    </row>
    <row r="153" spans="1:19" x14ac:dyDescent="0.3">
      <c r="A153" s="79"/>
      <c r="B153" s="79"/>
      <c r="Q153" s="78" t="str">
        <f>IFERROR(INDEX(CustomerDetails!$A$1:$C$469,CustomerDetails!$P139,COLUMNS($Q153:Q153)),"")</f>
        <v/>
      </c>
      <c r="R153" s="78" t="str">
        <f>IFERROR(INDEX(CustomerDetails!$A$1:$C$469,CustomerDetails!$P139,COLUMNS($Q153:R153)),"")</f>
        <v/>
      </c>
      <c r="S153" s="78" t="str">
        <f>IFERROR(INDEX(CustomerDetails!$A$1:$C$469,CustomerDetails!$P139,COLUMNS($Q153:S153)),"")</f>
        <v/>
      </c>
    </row>
    <row r="154" spans="1:19" x14ac:dyDescent="0.3">
      <c r="A154" s="79"/>
      <c r="B154" s="79"/>
      <c r="Q154" s="78" t="str">
        <f>IFERROR(INDEX(CustomerDetails!$A$1:$C$469,CustomerDetails!$P140,COLUMNS($Q154:Q154)),"")</f>
        <v/>
      </c>
      <c r="R154" s="78" t="str">
        <f>IFERROR(INDEX(CustomerDetails!$A$1:$C$469,CustomerDetails!$P140,COLUMNS($Q154:R154)),"")</f>
        <v/>
      </c>
      <c r="S154" s="78" t="str">
        <f>IFERROR(INDEX(CustomerDetails!$A$1:$C$469,CustomerDetails!$P140,COLUMNS($Q154:S154)),"")</f>
        <v/>
      </c>
    </row>
    <row r="155" spans="1:19" x14ac:dyDescent="0.3">
      <c r="A155" s="79"/>
      <c r="B155" s="79"/>
      <c r="Q155" s="78" t="str">
        <f>IFERROR(INDEX(CustomerDetails!$A$1:$C$469,CustomerDetails!$P141,COLUMNS($Q155:Q155)),"")</f>
        <v/>
      </c>
      <c r="R155" s="78" t="str">
        <f>IFERROR(INDEX(CustomerDetails!$A$1:$C$469,CustomerDetails!$P141,COLUMNS($Q155:R155)),"")</f>
        <v/>
      </c>
      <c r="S155" s="78" t="str">
        <f>IFERROR(INDEX(CustomerDetails!$A$1:$C$469,CustomerDetails!$P141,COLUMNS($Q155:S155)),"")</f>
        <v/>
      </c>
    </row>
    <row r="156" spans="1:19" x14ac:dyDescent="0.3">
      <c r="A156" s="79"/>
      <c r="B156" s="79"/>
      <c r="Q156" s="78" t="str">
        <f>IFERROR(INDEX(CustomerDetails!$A$1:$C$469,CustomerDetails!$P142,COLUMNS($Q156:Q156)),"")</f>
        <v/>
      </c>
      <c r="R156" s="78" t="str">
        <f>IFERROR(INDEX(CustomerDetails!$A$1:$C$469,CustomerDetails!$P142,COLUMNS($Q156:R156)),"")</f>
        <v/>
      </c>
      <c r="S156" s="78" t="str">
        <f>IFERROR(INDEX(CustomerDetails!$A$1:$C$469,CustomerDetails!$P142,COLUMNS($Q156:S156)),"")</f>
        <v/>
      </c>
    </row>
    <row r="157" spans="1:19" x14ac:dyDescent="0.3">
      <c r="A157" s="79"/>
      <c r="B157" s="79"/>
      <c r="Q157" s="78" t="str">
        <f>IFERROR(INDEX(CustomerDetails!$A$1:$C$469,CustomerDetails!$P143,COLUMNS($Q157:Q157)),"")</f>
        <v/>
      </c>
      <c r="R157" s="78" t="str">
        <f>IFERROR(INDEX(CustomerDetails!$A$1:$C$469,CustomerDetails!$P143,COLUMNS($Q157:R157)),"")</f>
        <v/>
      </c>
      <c r="S157" s="78" t="str">
        <f>IFERROR(INDEX(CustomerDetails!$A$1:$C$469,CustomerDetails!$P143,COLUMNS($Q157:S157)),"")</f>
        <v/>
      </c>
    </row>
    <row r="158" spans="1:19" x14ac:dyDescent="0.3">
      <c r="A158" s="79"/>
      <c r="B158" s="79"/>
      <c r="Q158" s="78" t="str">
        <f>IFERROR(INDEX(CustomerDetails!$A$1:$C$469,CustomerDetails!$P144,COLUMNS($Q158:Q158)),"")</f>
        <v/>
      </c>
      <c r="R158" s="78" t="str">
        <f>IFERROR(INDEX(CustomerDetails!$A$1:$C$469,CustomerDetails!$P144,COLUMNS($Q158:R158)),"")</f>
        <v/>
      </c>
      <c r="S158" s="78" t="str">
        <f>IFERROR(INDEX(CustomerDetails!$A$1:$C$469,CustomerDetails!$P144,COLUMNS($Q158:S158)),"")</f>
        <v/>
      </c>
    </row>
    <row r="159" spans="1:19" x14ac:dyDescent="0.3">
      <c r="A159" s="79"/>
      <c r="B159" s="79"/>
      <c r="Q159" s="78" t="str">
        <f>IFERROR(INDEX(CustomerDetails!$A$1:$C$469,CustomerDetails!$P145,COLUMNS($Q159:Q159)),"")</f>
        <v/>
      </c>
      <c r="R159" s="78" t="str">
        <f>IFERROR(INDEX(CustomerDetails!$A$1:$C$469,CustomerDetails!$P145,COLUMNS($Q159:R159)),"")</f>
        <v/>
      </c>
      <c r="S159" s="78" t="str">
        <f>IFERROR(INDEX(CustomerDetails!$A$1:$C$469,CustomerDetails!$P145,COLUMNS($Q159:S159)),"")</f>
        <v/>
      </c>
    </row>
    <row r="160" spans="1:19" x14ac:dyDescent="0.3">
      <c r="A160" s="79"/>
      <c r="B160" s="79"/>
      <c r="Q160" s="78" t="str">
        <f>IFERROR(INDEX(CustomerDetails!$A$1:$C$469,CustomerDetails!$P146,COLUMNS($Q160:Q160)),"")</f>
        <v/>
      </c>
      <c r="R160" s="78" t="str">
        <f>IFERROR(INDEX(CustomerDetails!$A$1:$C$469,CustomerDetails!$P146,COLUMNS($Q160:R160)),"")</f>
        <v/>
      </c>
      <c r="S160" s="78" t="str">
        <f>IFERROR(INDEX(CustomerDetails!$A$1:$C$469,CustomerDetails!$P146,COLUMNS($Q160:S160)),"")</f>
        <v/>
      </c>
    </row>
    <row r="161" spans="1:19" x14ac:dyDescent="0.3">
      <c r="A161" s="79"/>
      <c r="B161" s="79"/>
      <c r="Q161" s="78" t="str">
        <f>IFERROR(INDEX(CustomerDetails!$A$1:$C$469,CustomerDetails!$P147,COLUMNS($Q161:Q161)),"")</f>
        <v/>
      </c>
      <c r="R161" s="78" t="str">
        <f>IFERROR(INDEX(CustomerDetails!$A$1:$C$469,CustomerDetails!$P147,COLUMNS($Q161:R161)),"")</f>
        <v/>
      </c>
      <c r="S161" s="78" t="str">
        <f>IFERROR(INDEX(CustomerDetails!$A$1:$C$469,CustomerDetails!$P147,COLUMNS($Q161:S161)),"")</f>
        <v/>
      </c>
    </row>
    <row r="162" spans="1:19" x14ac:dyDescent="0.3">
      <c r="A162" s="79"/>
      <c r="B162" s="79"/>
      <c r="Q162" s="78" t="str">
        <f>IFERROR(INDEX(CustomerDetails!$A$1:$C$469,CustomerDetails!$P148,COLUMNS($Q162:Q162)),"")</f>
        <v/>
      </c>
      <c r="R162" s="78" t="str">
        <f>IFERROR(INDEX(CustomerDetails!$A$1:$C$469,CustomerDetails!$P148,COLUMNS($Q162:R162)),"")</f>
        <v/>
      </c>
      <c r="S162" s="78" t="str">
        <f>IFERROR(INDEX(CustomerDetails!$A$1:$C$469,CustomerDetails!$P148,COLUMNS($Q162:S162)),"")</f>
        <v/>
      </c>
    </row>
    <row r="163" spans="1:19" x14ac:dyDescent="0.3">
      <c r="A163" s="79"/>
      <c r="B163" s="79"/>
      <c r="Q163" s="78" t="str">
        <f>IFERROR(INDEX(CustomerDetails!$A$1:$C$469,CustomerDetails!$P149,COLUMNS($Q163:Q163)),"")</f>
        <v/>
      </c>
      <c r="R163" s="78" t="str">
        <f>IFERROR(INDEX(CustomerDetails!$A$1:$C$469,CustomerDetails!$P149,COLUMNS($Q163:R163)),"")</f>
        <v/>
      </c>
      <c r="S163" s="78" t="str">
        <f>IFERROR(INDEX(CustomerDetails!$A$1:$C$469,CustomerDetails!$P149,COLUMNS($Q163:S163)),"")</f>
        <v/>
      </c>
    </row>
    <row r="164" spans="1:19" x14ac:dyDescent="0.3">
      <c r="A164" s="79"/>
      <c r="B164" s="79"/>
      <c r="Q164" s="78" t="str">
        <f>IFERROR(INDEX(CustomerDetails!$A$1:$C$469,CustomerDetails!$P150,COLUMNS($Q164:Q164)),"")</f>
        <v/>
      </c>
      <c r="R164" s="78" t="str">
        <f>IFERROR(INDEX(CustomerDetails!$A$1:$C$469,CustomerDetails!$P150,COLUMNS($Q164:R164)),"")</f>
        <v/>
      </c>
      <c r="S164" s="78" t="str">
        <f>IFERROR(INDEX(CustomerDetails!$A$1:$C$469,CustomerDetails!$P150,COLUMNS($Q164:S164)),"")</f>
        <v/>
      </c>
    </row>
    <row r="165" spans="1:19" x14ac:dyDescent="0.3">
      <c r="A165" s="79"/>
      <c r="B165" s="79"/>
      <c r="Q165" s="78" t="str">
        <f>IFERROR(INDEX(CustomerDetails!$A$1:$C$469,CustomerDetails!$P151,COLUMNS($Q165:Q165)),"")</f>
        <v/>
      </c>
      <c r="R165" s="78" t="str">
        <f>IFERROR(INDEX(CustomerDetails!$A$1:$C$469,CustomerDetails!$P151,COLUMNS($Q165:R165)),"")</f>
        <v/>
      </c>
      <c r="S165" s="78" t="str">
        <f>IFERROR(INDEX(CustomerDetails!$A$1:$C$469,CustomerDetails!$P151,COLUMNS($Q165:S165)),"")</f>
        <v/>
      </c>
    </row>
    <row r="166" spans="1:19" x14ac:dyDescent="0.3">
      <c r="A166" s="79"/>
      <c r="B166" s="79"/>
      <c r="Q166" s="78" t="str">
        <f>IFERROR(INDEX(CustomerDetails!$A$1:$C$469,CustomerDetails!$P152,COLUMNS($Q166:Q166)),"")</f>
        <v/>
      </c>
      <c r="R166" s="78" t="str">
        <f>IFERROR(INDEX(CustomerDetails!$A$1:$C$469,CustomerDetails!$P152,COLUMNS($Q166:R166)),"")</f>
        <v/>
      </c>
      <c r="S166" s="78" t="str">
        <f>IFERROR(INDEX(CustomerDetails!$A$1:$C$469,CustomerDetails!$P152,COLUMNS($Q166:S166)),"")</f>
        <v/>
      </c>
    </row>
    <row r="167" spans="1:19" x14ac:dyDescent="0.3">
      <c r="A167" s="79"/>
      <c r="B167" s="79"/>
      <c r="Q167" s="78" t="str">
        <f>IFERROR(INDEX(CustomerDetails!$A$1:$C$469,CustomerDetails!$P153,COLUMNS($Q167:Q167)),"")</f>
        <v/>
      </c>
      <c r="R167" s="78" t="str">
        <f>IFERROR(INDEX(CustomerDetails!$A$1:$C$469,CustomerDetails!$P153,COLUMNS($Q167:R167)),"")</f>
        <v/>
      </c>
      <c r="S167" s="78" t="str">
        <f>IFERROR(INDEX(CustomerDetails!$A$1:$C$469,CustomerDetails!$P153,COLUMNS($Q167:S167)),"")</f>
        <v/>
      </c>
    </row>
    <row r="168" spans="1:19" x14ac:dyDescent="0.3">
      <c r="A168" s="79"/>
      <c r="B168" s="79"/>
      <c r="Q168" s="78" t="str">
        <f>IFERROR(INDEX(CustomerDetails!$A$1:$C$469,CustomerDetails!$P154,COLUMNS($Q168:Q168)),"")</f>
        <v/>
      </c>
      <c r="R168" s="78" t="str">
        <f>IFERROR(INDEX(CustomerDetails!$A$1:$C$469,CustomerDetails!$P154,COLUMNS($Q168:R168)),"")</f>
        <v/>
      </c>
      <c r="S168" s="78" t="str">
        <f>IFERROR(INDEX(CustomerDetails!$A$1:$C$469,CustomerDetails!$P154,COLUMNS($Q168:S168)),"")</f>
        <v/>
      </c>
    </row>
    <row r="169" spans="1:19" x14ac:dyDescent="0.3">
      <c r="A169" s="79"/>
      <c r="B169" s="79"/>
      <c r="Q169" s="78" t="str">
        <f>IFERROR(INDEX(CustomerDetails!$A$1:$C$469,CustomerDetails!$P155,COLUMNS($Q169:Q169)),"")</f>
        <v/>
      </c>
      <c r="R169" s="78" t="str">
        <f>IFERROR(INDEX(CustomerDetails!$A$1:$C$469,CustomerDetails!$P155,COLUMNS($Q169:R169)),"")</f>
        <v/>
      </c>
      <c r="S169" s="78" t="str">
        <f>IFERROR(INDEX(CustomerDetails!$A$1:$C$469,CustomerDetails!$P155,COLUMNS($Q169:S169)),"")</f>
        <v/>
      </c>
    </row>
    <row r="170" spans="1:19" x14ac:dyDescent="0.3">
      <c r="A170" s="79"/>
      <c r="B170" s="79"/>
      <c r="Q170" s="78" t="str">
        <f>IFERROR(INDEX(CustomerDetails!$A$1:$C$469,CustomerDetails!$P156,COLUMNS($Q170:Q170)),"")</f>
        <v/>
      </c>
      <c r="R170" s="78" t="str">
        <f>IFERROR(INDEX(CustomerDetails!$A$1:$C$469,CustomerDetails!$P156,COLUMNS($Q170:R170)),"")</f>
        <v/>
      </c>
      <c r="S170" s="78" t="str">
        <f>IFERROR(INDEX(CustomerDetails!$A$1:$C$469,CustomerDetails!$P156,COLUMNS($Q170:S170)),"")</f>
        <v/>
      </c>
    </row>
    <row r="171" spans="1:19" x14ac:dyDescent="0.3">
      <c r="A171" s="79"/>
      <c r="B171" s="79"/>
      <c r="Q171" s="78" t="str">
        <f>IFERROR(INDEX(CustomerDetails!$A$1:$C$469,CustomerDetails!$P157,COLUMNS($Q171:Q171)),"")</f>
        <v/>
      </c>
      <c r="R171" s="78" t="str">
        <f>IFERROR(INDEX(CustomerDetails!$A$1:$C$469,CustomerDetails!$P157,COLUMNS($Q171:R171)),"")</f>
        <v/>
      </c>
      <c r="S171" s="78" t="str">
        <f>IFERROR(INDEX(CustomerDetails!$A$1:$C$469,CustomerDetails!$P157,COLUMNS($Q171:S171)),"")</f>
        <v/>
      </c>
    </row>
    <row r="172" spans="1:19" x14ac:dyDescent="0.3">
      <c r="A172" s="79"/>
      <c r="B172" s="79"/>
      <c r="Q172" s="78" t="str">
        <f>IFERROR(INDEX(CustomerDetails!$A$1:$C$469,CustomerDetails!$P158,COLUMNS($Q172:Q172)),"")</f>
        <v/>
      </c>
      <c r="R172" s="78" t="str">
        <f>IFERROR(INDEX(CustomerDetails!$A$1:$C$469,CustomerDetails!$P158,COLUMNS($Q172:R172)),"")</f>
        <v/>
      </c>
      <c r="S172" s="78" t="str">
        <f>IFERROR(INDEX(CustomerDetails!$A$1:$C$469,CustomerDetails!$P158,COLUMNS($Q172:S172)),"")</f>
        <v/>
      </c>
    </row>
    <row r="173" spans="1:19" x14ac:dyDescent="0.3">
      <c r="A173" s="79"/>
      <c r="B173" s="79"/>
      <c r="Q173" s="78" t="str">
        <f>IFERROR(INDEX(CustomerDetails!$A$1:$C$469,CustomerDetails!$P159,COLUMNS($Q173:Q173)),"")</f>
        <v/>
      </c>
      <c r="R173" s="78" t="str">
        <f>IFERROR(INDEX(CustomerDetails!$A$1:$C$469,CustomerDetails!$P159,COLUMNS($Q173:R173)),"")</f>
        <v/>
      </c>
      <c r="S173" s="78" t="str">
        <f>IFERROR(INDEX(CustomerDetails!$A$1:$C$469,CustomerDetails!$P159,COLUMNS($Q173:S173)),"")</f>
        <v/>
      </c>
    </row>
    <row r="174" spans="1:19" x14ac:dyDescent="0.3">
      <c r="A174" s="79"/>
      <c r="B174" s="79"/>
      <c r="Q174" s="78" t="str">
        <f>IFERROR(INDEX(CustomerDetails!$A$1:$C$469,CustomerDetails!$P160,COLUMNS($Q174:Q174)),"")</f>
        <v/>
      </c>
      <c r="R174" s="78" t="str">
        <f>IFERROR(INDEX(CustomerDetails!$A$1:$C$469,CustomerDetails!$P160,COLUMNS($Q174:R174)),"")</f>
        <v/>
      </c>
      <c r="S174" s="78" t="str">
        <f>IFERROR(INDEX(CustomerDetails!$A$1:$C$469,CustomerDetails!$P160,COLUMNS($Q174:S174)),"")</f>
        <v/>
      </c>
    </row>
    <row r="175" spans="1:19" x14ac:dyDescent="0.3">
      <c r="A175" s="79"/>
      <c r="B175" s="79"/>
      <c r="Q175" s="78" t="str">
        <f>IFERROR(INDEX(CustomerDetails!$A$1:$C$469,CustomerDetails!$P161,COLUMNS($Q175:Q175)),"")</f>
        <v/>
      </c>
      <c r="R175" s="78" t="str">
        <f>IFERROR(INDEX(CustomerDetails!$A$1:$C$469,CustomerDetails!$P161,COLUMNS($Q175:R175)),"")</f>
        <v/>
      </c>
      <c r="S175" s="78" t="str">
        <f>IFERROR(INDEX(CustomerDetails!$A$1:$C$469,CustomerDetails!$P161,COLUMNS($Q175:S175)),"")</f>
        <v/>
      </c>
    </row>
    <row r="176" spans="1:19" x14ac:dyDescent="0.3">
      <c r="A176" s="79"/>
      <c r="B176" s="79"/>
      <c r="Q176" s="78" t="str">
        <f>IFERROR(INDEX(CustomerDetails!$A$1:$C$469,CustomerDetails!$P162,COLUMNS($Q176:Q176)),"")</f>
        <v/>
      </c>
      <c r="R176" s="78" t="str">
        <f>IFERROR(INDEX(CustomerDetails!$A$1:$C$469,CustomerDetails!$P162,COLUMNS($Q176:R176)),"")</f>
        <v/>
      </c>
      <c r="S176" s="78" t="str">
        <f>IFERROR(INDEX(CustomerDetails!$A$1:$C$469,CustomerDetails!$P162,COLUMNS($Q176:S176)),"")</f>
        <v/>
      </c>
    </row>
    <row r="177" spans="1:19" x14ac:dyDescent="0.3">
      <c r="A177" s="79"/>
      <c r="B177" s="79"/>
      <c r="Q177" s="78" t="str">
        <f>IFERROR(INDEX(CustomerDetails!$A$1:$C$469,CustomerDetails!$P163,COLUMNS($Q177:Q177)),"")</f>
        <v/>
      </c>
      <c r="R177" s="78" t="str">
        <f>IFERROR(INDEX(CustomerDetails!$A$1:$C$469,CustomerDetails!$P163,COLUMNS($Q177:R177)),"")</f>
        <v/>
      </c>
      <c r="S177" s="78" t="str">
        <f>IFERROR(INDEX(CustomerDetails!$A$1:$C$469,CustomerDetails!$P163,COLUMNS($Q177:S177)),"")</f>
        <v/>
      </c>
    </row>
    <row r="178" spans="1:19" x14ac:dyDescent="0.3">
      <c r="A178" s="79"/>
      <c r="B178" s="79"/>
      <c r="Q178" s="78" t="str">
        <f>IFERROR(INDEX(CustomerDetails!$A$1:$C$469,CustomerDetails!$P164,COLUMNS($Q178:Q178)),"")</f>
        <v/>
      </c>
      <c r="R178" s="78" t="str">
        <f>IFERROR(INDEX(CustomerDetails!$A$1:$C$469,CustomerDetails!$P164,COLUMNS($Q178:R178)),"")</f>
        <v/>
      </c>
      <c r="S178" s="78" t="str">
        <f>IFERROR(INDEX(CustomerDetails!$A$1:$C$469,CustomerDetails!$P164,COLUMNS($Q178:S178)),"")</f>
        <v/>
      </c>
    </row>
    <row r="179" spans="1:19" x14ac:dyDescent="0.3">
      <c r="A179" s="79"/>
      <c r="B179" s="79"/>
      <c r="Q179" s="78" t="str">
        <f>IFERROR(INDEX(CustomerDetails!$A$1:$C$469,CustomerDetails!$P165,COLUMNS($Q179:Q179)),"")</f>
        <v/>
      </c>
      <c r="R179" s="78" t="str">
        <f>IFERROR(INDEX(CustomerDetails!$A$1:$C$469,CustomerDetails!$P165,COLUMNS($Q179:R179)),"")</f>
        <v/>
      </c>
      <c r="S179" s="78" t="str">
        <f>IFERROR(INDEX(CustomerDetails!$A$1:$C$469,CustomerDetails!$P165,COLUMNS($Q179:S179)),"")</f>
        <v/>
      </c>
    </row>
    <row r="180" spans="1:19" x14ac:dyDescent="0.3">
      <c r="A180" s="79"/>
      <c r="B180" s="79"/>
      <c r="Q180" s="78" t="str">
        <f>IFERROR(INDEX(CustomerDetails!$A$1:$C$469,CustomerDetails!$P166,COLUMNS($Q180:Q180)),"")</f>
        <v/>
      </c>
      <c r="R180" s="78" t="str">
        <f>IFERROR(INDEX(CustomerDetails!$A$1:$C$469,CustomerDetails!$P166,COLUMNS($Q180:R180)),"")</f>
        <v/>
      </c>
      <c r="S180" s="78" t="str">
        <f>IFERROR(INDEX(CustomerDetails!$A$1:$C$469,CustomerDetails!$P166,COLUMNS($Q180:S180)),"")</f>
        <v/>
      </c>
    </row>
    <row r="181" spans="1:19" x14ac:dyDescent="0.3">
      <c r="A181" s="79"/>
      <c r="B181" s="79"/>
      <c r="Q181" s="78" t="str">
        <f>IFERROR(INDEX(CustomerDetails!$A$1:$C$469,CustomerDetails!$P167,COLUMNS($Q181:Q181)),"")</f>
        <v/>
      </c>
      <c r="R181" s="78" t="str">
        <f>IFERROR(INDEX(CustomerDetails!$A$1:$C$469,CustomerDetails!$P167,COLUMNS($Q181:R181)),"")</f>
        <v/>
      </c>
      <c r="S181" s="78" t="str">
        <f>IFERROR(INDEX(CustomerDetails!$A$1:$C$469,CustomerDetails!$P167,COLUMNS($Q181:S181)),"")</f>
        <v/>
      </c>
    </row>
    <row r="182" spans="1:19" x14ac:dyDescent="0.3">
      <c r="A182" s="79"/>
      <c r="B182" s="79"/>
      <c r="Q182" s="78" t="str">
        <f>IFERROR(INDEX(CustomerDetails!$A$1:$C$469,CustomerDetails!$P168,COLUMNS($Q182:Q182)),"")</f>
        <v/>
      </c>
      <c r="R182" s="78" t="str">
        <f>IFERROR(INDEX(CustomerDetails!$A$1:$C$469,CustomerDetails!$P168,COLUMNS($Q182:R182)),"")</f>
        <v/>
      </c>
      <c r="S182" s="78" t="str">
        <f>IFERROR(INDEX(CustomerDetails!$A$1:$C$469,CustomerDetails!$P168,COLUMNS($Q182:S182)),"")</f>
        <v/>
      </c>
    </row>
    <row r="183" spans="1:19" x14ac:dyDescent="0.3">
      <c r="A183" s="79"/>
      <c r="B183" s="79"/>
      <c r="Q183" s="78" t="str">
        <f>IFERROR(INDEX(CustomerDetails!$A$1:$C$469,CustomerDetails!$P169,COLUMNS($Q183:Q183)),"")</f>
        <v/>
      </c>
      <c r="R183" s="78" t="str">
        <f>IFERROR(INDEX(CustomerDetails!$A$1:$C$469,CustomerDetails!$P169,COLUMNS($Q183:R183)),"")</f>
        <v/>
      </c>
      <c r="S183" s="78" t="str">
        <f>IFERROR(INDEX(CustomerDetails!$A$1:$C$469,CustomerDetails!$P169,COLUMNS($Q183:S183)),"")</f>
        <v/>
      </c>
    </row>
    <row r="184" spans="1:19" x14ac:dyDescent="0.3">
      <c r="A184" s="79"/>
      <c r="B184" s="79"/>
      <c r="Q184" s="78" t="str">
        <f>IFERROR(INDEX(CustomerDetails!$A$1:$C$469,CustomerDetails!$P170,COLUMNS($Q184:Q184)),"")</f>
        <v/>
      </c>
      <c r="R184" s="78" t="str">
        <f>IFERROR(INDEX(CustomerDetails!$A$1:$C$469,CustomerDetails!$P170,COLUMNS($Q184:R184)),"")</f>
        <v/>
      </c>
      <c r="S184" s="78" t="str">
        <f>IFERROR(INDEX(CustomerDetails!$A$1:$C$469,CustomerDetails!$P170,COLUMNS($Q184:S184)),"")</f>
        <v/>
      </c>
    </row>
    <row r="185" spans="1:19" x14ac:dyDescent="0.3">
      <c r="A185" s="79"/>
      <c r="B185" s="79"/>
      <c r="Q185" s="78" t="str">
        <f>IFERROR(INDEX(CustomerDetails!$A$1:$C$469,CustomerDetails!$P171,COLUMNS($Q185:Q185)),"")</f>
        <v/>
      </c>
      <c r="R185" s="78" t="str">
        <f>IFERROR(INDEX(CustomerDetails!$A$1:$C$469,CustomerDetails!$P171,COLUMNS($Q185:R185)),"")</f>
        <v/>
      </c>
      <c r="S185" s="78" t="str">
        <f>IFERROR(INDEX(CustomerDetails!$A$1:$C$469,CustomerDetails!$P171,COLUMNS($Q185:S185)),"")</f>
        <v/>
      </c>
    </row>
    <row r="186" spans="1:19" x14ac:dyDescent="0.3">
      <c r="A186" s="79"/>
      <c r="B186" s="79"/>
      <c r="Q186" s="78" t="str">
        <f>IFERROR(INDEX(CustomerDetails!$A$1:$C$469,CustomerDetails!$P172,COLUMNS($Q186:Q186)),"")</f>
        <v/>
      </c>
      <c r="R186" s="78" t="str">
        <f>IFERROR(INDEX(CustomerDetails!$A$1:$C$469,CustomerDetails!$P172,COLUMNS($Q186:R186)),"")</f>
        <v/>
      </c>
      <c r="S186" s="78" t="str">
        <f>IFERROR(INDEX(CustomerDetails!$A$1:$C$469,CustomerDetails!$P172,COLUMNS($Q186:S186)),"")</f>
        <v/>
      </c>
    </row>
    <row r="187" spans="1:19" x14ac:dyDescent="0.3">
      <c r="A187" s="79"/>
      <c r="B187" s="79"/>
      <c r="Q187" s="78" t="str">
        <f>IFERROR(INDEX(CustomerDetails!$A$1:$C$469,CustomerDetails!$P173,COLUMNS($Q187:Q187)),"")</f>
        <v/>
      </c>
      <c r="R187" s="78" t="str">
        <f>IFERROR(INDEX(CustomerDetails!$A$1:$C$469,CustomerDetails!$P173,COLUMNS($Q187:R187)),"")</f>
        <v/>
      </c>
      <c r="S187" s="78" t="str">
        <f>IFERROR(INDEX(CustomerDetails!$A$1:$C$469,CustomerDetails!$P173,COLUMNS($Q187:S187)),"")</f>
        <v/>
      </c>
    </row>
    <row r="188" spans="1:19" x14ac:dyDescent="0.3">
      <c r="A188" s="79"/>
      <c r="B188" s="79"/>
      <c r="Q188" s="78" t="str">
        <f>IFERROR(INDEX(CustomerDetails!$A$1:$C$469,CustomerDetails!$P174,COLUMNS($Q188:Q188)),"")</f>
        <v/>
      </c>
      <c r="R188" s="78" t="str">
        <f>IFERROR(INDEX(CustomerDetails!$A$1:$C$469,CustomerDetails!$P174,COLUMNS($Q188:R188)),"")</f>
        <v/>
      </c>
      <c r="S188" s="78" t="str">
        <f>IFERROR(INDEX(CustomerDetails!$A$1:$C$469,CustomerDetails!$P174,COLUMNS($Q188:S188)),"")</f>
        <v/>
      </c>
    </row>
    <row r="189" spans="1:19" x14ac:dyDescent="0.3">
      <c r="A189" s="79"/>
      <c r="B189" s="79"/>
      <c r="Q189" s="78" t="str">
        <f>IFERROR(INDEX(CustomerDetails!$A$1:$C$469,CustomerDetails!$P175,COLUMNS($Q189:Q189)),"")</f>
        <v/>
      </c>
      <c r="R189" s="78" t="str">
        <f>IFERROR(INDEX(CustomerDetails!$A$1:$C$469,CustomerDetails!$P175,COLUMNS($Q189:R189)),"")</f>
        <v/>
      </c>
      <c r="S189" s="78" t="str">
        <f>IFERROR(INDEX(CustomerDetails!$A$1:$C$469,CustomerDetails!$P175,COLUMNS($Q189:S189)),"")</f>
        <v/>
      </c>
    </row>
    <row r="190" spans="1:19" x14ac:dyDescent="0.3">
      <c r="A190" s="79"/>
      <c r="B190" s="79"/>
      <c r="Q190" s="78" t="str">
        <f>IFERROR(INDEX(CustomerDetails!$A$1:$C$469,CustomerDetails!$P176,COLUMNS($Q190:Q190)),"")</f>
        <v/>
      </c>
      <c r="R190" s="78" t="str">
        <f>IFERROR(INDEX(CustomerDetails!$A$1:$C$469,CustomerDetails!$P176,COLUMNS($Q190:R190)),"")</f>
        <v/>
      </c>
      <c r="S190" s="78" t="str">
        <f>IFERROR(INDEX(CustomerDetails!$A$1:$C$469,CustomerDetails!$P176,COLUMNS($Q190:S190)),"")</f>
        <v/>
      </c>
    </row>
    <row r="191" spans="1:19" x14ac:dyDescent="0.3">
      <c r="A191" s="79"/>
      <c r="B191" s="79"/>
      <c r="Q191" s="78" t="str">
        <f>IFERROR(INDEX(CustomerDetails!$A$1:$C$469,CustomerDetails!$P177,COLUMNS($Q191:Q191)),"")</f>
        <v/>
      </c>
      <c r="R191" s="78" t="str">
        <f>IFERROR(INDEX(CustomerDetails!$A$1:$C$469,CustomerDetails!$P177,COLUMNS($Q191:R191)),"")</f>
        <v/>
      </c>
      <c r="S191" s="78" t="str">
        <f>IFERROR(INDEX(CustomerDetails!$A$1:$C$469,CustomerDetails!$P177,COLUMNS($Q191:S191)),"")</f>
        <v/>
      </c>
    </row>
    <row r="192" spans="1:19" x14ac:dyDescent="0.3">
      <c r="A192" s="79"/>
      <c r="B192" s="79"/>
      <c r="Q192" s="78" t="str">
        <f>IFERROR(INDEX(CustomerDetails!$A$1:$C$469,CustomerDetails!$P178,COLUMNS($Q192:Q192)),"")</f>
        <v/>
      </c>
      <c r="R192" s="78" t="str">
        <f>IFERROR(INDEX(CustomerDetails!$A$1:$C$469,CustomerDetails!$P178,COLUMNS($Q192:R192)),"")</f>
        <v/>
      </c>
      <c r="S192" s="78" t="str">
        <f>IFERROR(INDEX(CustomerDetails!$A$1:$C$469,CustomerDetails!$P178,COLUMNS($Q192:S192)),"")</f>
        <v/>
      </c>
    </row>
    <row r="193" spans="1:19" x14ac:dyDescent="0.3">
      <c r="A193" s="79"/>
      <c r="B193" s="79"/>
      <c r="Q193" s="78" t="str">
        <f>IFERROR(INDEX(CustomerDetails!$A$1:$C$469,CustomerDetails!$P179,COLUMNS($Q193:Q193)),"")</f>
        <v/>
      </c>
      <c r="R193" s="78" t="str">
        <f>IFERROR(INDEX(CustomerDetails!$A$1:$C$469,CustomerDetails!$P179,COLUMNS($Q193:R193)),"")</f>
        <v/>
      </c>
      <c r="S193" s="78" t="str">
        <f>IFERROR(INDEX(CustomerDetails!$A$1:$C$469,CustomerDetails!$P179,COLUMNS($Q193:S193)),"")</f>
        <v/>
      </c>
    </row>
    <row r="194" spans="1:19" x14ac:dyDescent="0.3">
      <c r="A194" s="79"/>
      <c r="B194" s="79"/>
      <c r="Q194" s="78" t="str">
        <f>IFERROR(INDEX(CustomerDetails!$A$1:$C$469,CustomerDetails!$P180,COLUMNS($Q194:Q194)),"")</f>
        <v/>
      </c>
      <c r="R194" s="78" t="str">
        <f>IFERROR(INDEX(CustomerDetails!$A$1:$C$469,CustomerDetails!$P180,COLUMNS($Q194:R194)),"")</f>
        <v/>
      </c>
      <c r="S194" s="78" t="str">
        <f>IFERROR(INDEX(CustomerDetails!$A$1:$C$469,CustomerDetails!$P180,COLUMNS($Q194:S194)),"")</f>
        <v/>
      </c>
    </row>
    <row r="195" spans="1:19" x14ac:dyDescent="0.3">
      <c r="A195" s="79"/>
      <c r="B195" s="79"/>
      <c r="Q195" s="78" t="str">
        <f>IFERROR(INDEX(CustomerDetails!$A$1:$C$469,CustomerDetails!$P181,COLUMNS($Q195:Q195)),"")</f>
        <v/>
      </c>
      <c r="R195" s="78" t="str">
        <f>IFERROR(INDEX(CustomerDetails!$A$1:$C$469,CustomerDetails!$P181,COLUMNS($Q195:R195)),"")</f>
        <v/>
      </c>
      <c r="S195" s="78" t="str">
        <f>IFERROR(INDEX(CustomerDetails!$A$1:$C$469,CustomerDetails!$P181,COLUMNS($Q195:S195)),"")</f>
        <v/>
      </c>
    </row>
    <row r="196" spans="1:19" x14ac:dyDescent="0.3">
      <c r="A196" s="79"/>
      <c r="B196" s="79"/>
      <c r="Q196" s="78" t="str">
        <f>IFERROR(INDEX(CustomerDetails!$A$1:$C$469,CustomerDetails!$P182,COLUMNS($Q196:Q196)),"")</f>
        <v/>
      </c>
      <c r="R196" s="78" t="str">
        <f>IFERROR(INDEX(CustomerDetails!$A$1:$C$469,CustomerDetails!$P182,COLUMNS($Q196:R196)),"")</f>
        <v/>
      </c>
      <c r="S196" s="78" t="str">
        <f>IFERROR(INDEX(CustomerDetails!$A$1:$C$469,CustomerDetails!$P182,COLUMNS($Q196:S196)),"")</f>
        <v/>
      </c>
    </row>
    <row r="197" spans="1:19" x14ac:dyDescent="0.3">
      <c r="A197" s="79"/>
      <c r="B197" s="79"/>
      <c r="Q197" s="78" t="str">
        <f>IFERROR(INDEX(CustomerDetails!$A$1:$C$469,CustomerDetails!$P183,COLUMNS($Q197:Q197)),"")</f>
        <v/>
      </c>
      <c r="R197" s="78" t="str">
        <f>IFERROR(INDEX(CustomerDetails!$A$1:$C$469,CustomerDetails!$P183,COLUMNS($Q197:R197)),"")</f>
        <v/>
      </c>
      <c r="S197" s="78" t="str">
        <f>IFERROR(INDEX(CustomerDetails!$A$1:$C$469,CustomerDetails!$P183,COLUMNS($Q197:S197)),"")</f>
        <v/>
      </c>
    </row>
    <row r="198" spans="1:19" x14ac:dyDescent="0.3">
      <c r="A198" s="79"/>
      <c r="B198" s="79"/>
      <c r="Q198" s="78" t="str">
        <f>IFERROR(INDEX(CustomerDetails!$A$1:$C$469,CustomerDetails!$P184,COLUMNS($Q198:Q198)),"")</f>
        <v/>
      </c>
      <c r="R198" s="78" t="str">
        <f>IFERROR(INDEX(CustomerDetails!$A$1:$C$469,CustomerDetails!$P184,COLUMNS($Q198:R198)),"")</f>
        <v/>
      </c>
      <c r="S198" s="78" t="str">
        <f>IFERROR(INDEX(CustomerDetails!$A$1:$C$469,CustomerDetails!$P184,COLUMNS($Q198:S198)),"")</f>
        <v/>
      </c>
    </row>
    <row r="199" spans="1:19" x14ac:dyDescent="0.3">
      <c r="A199" s="79"/>
      <c r="B199" s="79"/>
      <c r="Q199" s="78" t="str">
        <f>IFERROR(INDEX(CustomerDetails!$A$1:$C$469,CustomerDetails!$P185,COLUMNS($Q199:Q199)),"")</f>
        <v/>
      </c>
      <c r="R199" s="78" t="str">
        <f>IFERROR(INDEX(CustomerDetails!$A$1:$C$469,CustomerDetails!$P185,COLUMNS($Q199:R199)),"")</f>
        <v/>
      </c>
      <c r="S199" s="78" t="str">
        <f>IFERROR(INDEX(CustomerDetails!$A$1:$C$469,CustomerDetails!$P185,COLUMNS($Q199:S199)),"")</f>
        <v/>
      </c>
    </row>
    <row r="200" spans="1:19" x14ac:dyDescent="0.3">
      <c r="A200" s="79"/>
      <c r="B200" s="79"/>
      <c r="Q200" s="78" t="str">
        <f>IFERROR(INDEX(CustomerDetails!$A$1:$C$469,CustomerDetails!$P186,COLUMNS($Q200:Q200)),"")</f>
        <v/>
      </c>
      <c r="R200" s="78" t="str">
        <f>IFERROR(INDEX(CustomerDetails!$A$1:$C$469,CustomerDetails!$P186,COLUMNS($Q200:R200)),"")</f>
        <v/>
      </c>
      <c r="S200" s="78" t="str">
        <f>IFERROR(INDEX(CustomerDetails!$A$1:$C$469,CustomerDetails!$P186,COLUMNS($Q200:S200)),"")</f>
        <v/>
      </c>
    </row>
    <row r="201" spans="1:19" x14ac:dyDescent="0.3">
      <c r="A201" s="79"/>
      <c r="B201" s="79"/>
      <c r="Q201" s="78" t="str">
        <f>IFERROR(INDEX(CustomerDetails!$A$1:$C$469,CustomerDetails!$P187,COLUMNS($Q201:Q201)),"")</f>
        <v/>
      </c>
      <c r="R201" s="78" t="str">
        <f>IFERROR(INDEX(CustomerDetails!$A$1:$C$469,CustomerDetails!$P187,COLUMNS($Q201:R201)),"")</f>
        <v/>
      </c>
      <c r="S201" s="78" t="str">
        <f>IFERROR(INDEX(CustomerDetails!$A$1:$C$469,CustomerDetails!$P187,COLUMNS($Q201:S201)),"")</f>
        <v/>
      </c>
    </row>
    <row r="202" spans="1:19" x14ac:dyDescent="0.3">
      <c r="A202" s="79"/>
      <c r="B202" s="79"/>
      <c r="Q202" s="78" t="str">
        <f>IFERROR(INDEX(CustomerDetails!$A$1:$C$469,CustomerDetails!$P188,COLUMNS($Q202:Q202)),"")</f>
        <v/>
      </c>
      <c r="R202" s="78" t="str">
        <f>IFERROR(INDEX(CustomerDetails!$A$1:$C$469,CustomerDetails!$P188,COLUMNS($Q202:R202)),"")</f>
        <v/>
      </c>
      <c r="S202" s="78" t="str">
        <f>IFERROR(INDEX(CustomerDetails!$A$1:$C$469,CustomerDetails!$P188,COLUMNS($Q202:S202)),"")</f>
        <v/>
      </c>
    </row>
    <row r="203" spans="1:19" x14ac:dyDescent="0.3">
      <c r="A203" s="79"/>
      <c r="B203" s="79"/>
      <c r="Q203" s="78" t="str">
        <f>IFERROR(INDEX(CustomerDetails!$A$1:$C$469,CustomerDetails!$P189,COLUMNS($Q203:Q203)),"")</f>
        <v/>
      </c>
      <c r="R203" s="78" t="str">
        <f>IFERROR(INDEX(CustomerDetails!$A$1:$C$469,CustomerDetails!$P189,COLUMNS($Q203:R203)),"")</f>
        <v/>
      </c>
      <c r="S203" s="78" t="str">
        <f>IFERROR(INDEX(CustomerDetails!$A$1:$C$469,CustomerDetails!$P189,COLUMNS($Q203:S203)),"")</f>
        <v/>
      </c>
    </row>
    <row r="204" spans="1:19" x14ac:dyDescent="0.3">
      <c r="A204" s="79"/>
      <c r="B204" s="79"/>
      <c r="Q204" s="78" t="str">
        <f>IFERROR(INDEX(CustomerDetails!$A$1:$C$469,CustomerDetails!$P190,COLUMNS($Q204:Q204)),"")</f>
        <v/>
      </c>
      <c r="R204" s="78" t="str">
        <f>IFERROR(INDEX(CustomerDetails!$A$1:$C$469,CustomerDetails!$P190,COLUMNS($Q204:R204)),"")</f>
        <v/>
      </c>
      <c r="S204" s="78" t="str">
        <f>IFERROR(INDEX(CustomerDetails!$A$1:$C$469,CustomerDetails!$P190,COLUMNS($Q204:S204)),"")</f>
        <v/>
      </c>
    </row>
    <row r="205" spans="1:19" x14ac:dyDescent="0.3">
      <c r="A205" s="79"/>
      <c r="B205" s="79"/>
      <c r="Q205" s="78" t="str">
        <f>IFERROR(INDEX(CustomerDetails!$A$1:$C$469,CustomerDetails!$P191,COLUMNS($Q205:Q205)),"")</f>
        <v/>
      </c>
      <c r="R205" s="78" t="str">
        <f>IFERROR(INDEX(CustomerDetails!$A$1:$C$469,CustomerDetails!$P191,COLUMNS($Q205:R205)),"")</f>
        <v/>
      </c>
      <c r="S205" s="78" t="str">
        <f>IFERROR(INDEX(CustomerDetails!$A$1:$C$469,CustomerDetails!$P191,COLUMNS($Q205:S205)),"")</f>
        <v/>
      </c>
    </row>
    <row r="206" spans="1:19" x14ac:dyDescent="0.3">
      <c r="A206" s="79"/>
      <c r="B206" s="79"/>
      <c r="Q206" s="78" t="str">
        <f>IFERROR(INDEX(CustomerDetails!$A$1:$C$469,CustomerDetails!$P192,COLUMNS($Q206:Q206)),"")</f>
        <v/>
      </c>
      <c r="R206" s="78" t="str">
        <f>IFERROR(INDEX(CustomerDetails!$A$1:$C$469,CustomerDetails!$P192,COLUMNS($Q206:R206)),"")</f>
        <v/>
      </c>
      <c r="S206" s="78" t="str">
        <f>IFERROR(INDEX(CustomerDetails!$A$1:$C$469,CustomerDetails!$P192,COLUMNS($Q206:S206)),"")</f>
        <v/>
      </c>
    </row>
    <row r="207" spans="1:19" x14ac:dyDescent="0.3">
      <c r="A207" s="79"/>
      <c r="B207" s="79"/>
      <c r="Q207" s="78" t="str">
        <f>IFERROR(INDEX(CustomerDetails!$A$1:$C$469,CustomerDetails!$P193,COLUMNS($Q207:Q207)),"")</f>
        <v/>
      </c>
      <c r="R207" s="78" t="str">
        <f>IFERROR(INDEX(CustomerDetails!$A$1:$C$469,CustomerDetails!$P193,COLUMNS($Q207:R207)),"")</f>
        <v/>
      </c>
      <c r="S207" s="78" t="str">
        <f>IFERROR(INDEX(CustomerDetails!$A$1:$C$469,CustomerDetails!$P193,COLUMNS($Q207:S207)),"")</f>
        <v/>
      </c>
    </row>
    <row r="208" spans="1:19" x14ac:dyDescent="0.3">
      <c r="A208" s="79"/>
      <c r="B208" s="79"/>
      <c r="Q208" s="78" t="str">
        <f>IFERROR(INDEX(CustomerDetails!$A$1:$C$469,CustomerDetails!$P194,COLUMNS($Q208:Q208)),"")</f>
        <v/>
      </c>
      <c r="R208" s="78" t="str">
        <f>IFERROR(INDEX(CustomerDetails!$A$1:$C$469,CustomerDetails!$P194,COLUMNS($Q208:R208)),"")</f>
        <v/>
      </c>
      <c r="S208" s="78" t="str">
        <f>IFERROR(INDEX(CustomerDetails!$A$1:$C$469,CustomerDetails!$P194,COLUMNS($Q208:S208)),"")</f>
        <v/>
      </c>
    </row>
    <row r="209" spans="1:19" x14ac:dyDescent="0.3">
      <c r="A209" s="79"/>
      <c r="B209" s="79"/>
      <c r="Q209" s="78" t="str">
        <f>IFERROR(INDEX(CustomerDetails!$A$1:$C$469,CustomerDetails!$P195,COLUMNS($Q209:Q209)),"")</f>
        <v/>
      </c>
      <c r="R209" s="78" t="str">
        <f>IFERROR(INDEX(CustomerDetails!$A$1:$C$469,CustomerDetails!$P195,COLUMNS($Q209:R209)),"")</f>
        <v/>
      </c>
      <c r="S209" s="78" t="str">
        <f>IFERROR(INDEX(CustomerDetails!$A$1:$C$469,CustomerDetails!$P195,COLUMNS($Q209:S209)),"")</f>
        <v/>
      </c>
    </row>
    <row r="210" spans="1:19" x14ac:dyDescent="0.3">
      <c r="A210" s="79"/>
      <c r="B210" s="79"/>
      <c r="Q210" s="78" t="str">
        <f>IFERROR(INDEX(CustomerDetails!$A$1:$C$469,CustomerDetails!$P196,COLUMNS($Q210:Q210)),"")</f>
        <v/>
      </c>
      <c r="R210" s="78" t="str">
        <f>IFERROR(INDEX(CustomerDetails!$A$1:$C$469,CustomerDetails!$P196,COLUMNS($Q210:R210)),"")</f>
        <v/>
      </c>
      <c r="S210" s="78" t="str">
        <f>IFERROR(INDEX(CustomerDetails!$A$1:$C$469,CustomerDetails!$P196,COLUMNS($Q210:S210)),"")</f>
        <v/>
      </c>
    </row>
    <row r="211" spans="1:19" x14ac:dyDescent="0.3">
      <c r="A211" s="79"/>
      <c r="B211" s="79"/>
      <c r="Q211" s="78" t="str">
        <f>IFERROR(INDEX(CustomerDetails!$A$1:$C$469,CustomerDetails!$P197,COLUMNS($Q211:Q211)),"")</f>
        <v/>
      </c>
      <c r="R211" s="78" t="str">
        <f>IFERROR(INDEX(CustomerDetails!$A$1:$C$469,CustomerDetails!$P197,COLUMNS($Q211:R211)),"")</f>
        <v/>
      </c>
      <c r="S211" s="78" t="str">
        <f>IFERROR(INDEX(CustomerDetails!$A$1:$C$469,CustomerDetails!$P197,COLUMNS($Q211:S211)),"")</f>
        <v/>
      </c>
    </row>
    <row r="212" spans="1:19" x14ac:dyDescent="0.3">
      <c r="A212" s="79"/>
      <c r="B212" s="79"/>
      <c r="Q212" s="78" t="str">
        <f>IFERROR(INDEX(CustomerDetails!$A$1:$C$469,CustomerDetails!$P198,COLUMNS($Q212:Q212)),"")</f>
        <v/>
      </c>
      <c r="R212" s="78" t="str">
        <f>IFERROR(INDEX(CustomerDetails!$A$1:$C$469,CustomerDetails!$P198,COLUMNS($Q212:R212)),"")</f>
        <v/>
      </c>
      <c r="S212" s="78" t="str">
        <f>IFERROR(INDEX(CustomerDetails!$A$1:$C$469,CustomerDetails!$P198,COLUMNS($Q212:S212)),"")</f>
        <v/>
      </c>
    </row>
    <row r="213" spans="1:19" x14ac:dyDescent="0.3">
      <c r="A213" s="79"/>
      <c r="B213" s="79"/>
      <c r="Q213" s="78" t="str">
        <f>IFERROR(INDEX(CustomerDetails!$A$1:$C$469,CustomerDetails!$P199,COLUMNS($Q213:Q213)),"")</f>
        <v/>
      </c>
      <c r="R213" s="78" t="str">
        <f>IFERROR(INDEX(CustomerDetails!$A$1:$C$469,CustomerDetails!$P199,COLUMNS($Q213:R213)),"")</f>
        <v/>
      </c>
      <c r="S213" s="78" t="str">
        <f>IFERROR(INDEX(CustomerDetails!$A$1:$C$469,CustomerDetails!$P199,COLUMNS($Q213:S213)),"")</f>
        <v/>
      </c>
    </row>
    <row r="214" spans="1:19" x14ac:dyDescent="0.3">
      <c r="A214" s="79"/>
      <c r="B214" s="79"/>
      <c r="Q214" s="78" t="str">
        <f>IFERROR(INDEX(CustomerDetails!$A$1:$C$469,CustomerDetails!$P200,COLUMNS($Q214:Q214)),"")</f>
        <v/>
      </c>
      <c r="R214" s="78" t="str">
        <f>IFERROR(INDEX(CustomerDetails!$A$1:$C$469,CustomerDetails!$P200,COLUMNS($Q214:R214)),"")</f>
        <v/>
      </c>
      <c r="S214" s="78" t="str">
        <f>IFERROR(INDEX(CustomerDetails!$A$1:$C$469,CustomerDetails!$P200,COLUMNS($Q214:S214)),"")</f>
        <v/>
      </c>
    </row>
    <row r="215" spans="1:19" x14ac:dyDescent="0.3">
      <c r="A215" s="79"/>
      <c r="B215" s="79"/>
      <c r="Q215" s="78" t="str">
        <f>IFERROR(INDEX(CustomerDetails!$A$1:$C$469,CustomerDetails!$P201,COLUMNS($Q215:Q215)),"")</f>
        <v/>
      </c>
      <c r="R215" s="78" t="str">
        <f>IFERROR(INDEX(CustomerDetails!$A$1:$C$469,CustomerDetails!$P201,COLUMNS($Q215:R215)),"")</f>
        <v/>
      </c>
      <c r="S215" s="78" t="str">
        <f>IFERROR(INDEX(CustomerDetails!$A$1:$C$469,CustomerDetails!$P201,COLUMNS($Q215:S215)),"")</f>
        <v/>
      </c>
    </row>
    <row r="216" spans="1:19" x14ac:dyDescent="0.3">
      <c r="A216" s="79"/>
      <c r="B216" s="79"/>
      <c r="Q216" s="78" t="str">
        <f>IFERROR(INDEX(CustomerDetails!$A$1:$C$469,CustomerDetails!$P202,COLUMNS($Q216:Q216)),"")</f>
        <v/>
      </c>
      <c r="R216" s="78" t="str">
        <f>IFERROR(INDEX(CustomerDetails!$A$1:$C$469,CustomerDetails!$P202,COLUMNS($Q216:R216)),"")</f>
        <v/>
      </c>
      <c r="S216" s="78" t="str">
        <f>IFERROR(INDEX(CustomerDetails!$A$1:$C$469,CustomerDetails!$P202,COLUMNS($Q216:S216)),"")</f>
        <v/>
      </c>
    </row>
    <row r="217" spans="1:19" x14ac:dyDescent="0.3">
      <c r="A217" s="79"/>
      <c r="B217" s="79"/>
      <c r="Q217" s="78" t="str">
        <f>IFERROR(INDEX(CustomerDetails!$A$1:$C$469,CustomerDetails!$P203,COLUMNS($Q217:Q217)),"")</f>
        <v/>
      </c>
      <c r="R217" s="78" t="str">
        <f>IFERROR(INDEX(CustomerDetails!$A$1:$C$469,CustomerDetails!$P203,COLUMNS($Q217:R217)),"")</f>
        <v/>
      </c>
      <c r="S217" s="78" t="str">
        <f>IFERROR(INDEX(CustomerDetails!$A$1:$C$469,CustomerDetails!$P203,COLUMNS($Q217:S217)),"")</f>
        <v/>
      </c>
    </row>
    <row r="218" spans="1:19" x14ac:dyDescent="0.3">
      <c r="A218" s="79"/>
      <c r="B218" s="79"/>
      <c r="Q218" s="78" t="str">
        <f>IFERROR(INDEX(CustomerDetails!$A$1:$C$469,CustomerDetails!$P204,COLUMNS($Q218:Q218)),"")</f>
        <v/>
      </c>
      <c r="R218" s="78" t="str">
        <f>IFERROR(INDEX(CustomerDetails!$A$1:$C$469,CustomerDetails!$P204,COLUMNS($Q218:R218)),"")</f>
        <v/>
      </c>
      <c r="S218" s="78" t="str">
        <f>IFERROR(INDEX(CustomerDetails!$A$1:$C$469,CustomerDetails!$P204,COLUMNS($Q218:S218)),"")</f>
        <v/>
      </c>
    </row>
    <row r="219" spans="1:19" x14ac:dyDescent="0.3">
      <c r="A219" s="79"/>
      <c r="B219" s="79"/>
      <c r="Q219" s="78" t="str">
        <f>IFERROR(INDEX(CustomerDetails!$A$1:$C$469,CustomerDetails!$P205,COLUMNS($Q219:Q219)),"")</f>
        <v/>
      </c>
      <c r="R219" s="78" t="str">
        <f>IFERROR(INDEX(CustomerDetails!$A$1:$C$469,CustomerDetails!$P205,COLUMNS($Q219:R219)),"")</f>
        <v/>
      </c>
      <c r="S219" s="78" t="str">
        <f>IFERROR(INDEX(CustomerDetails!$A$1:$C$469,CustomerDetails!$P205,COLUMNS($Q219:S219)),"")</f>
        <v/>
      </c>
    </row>
    <row r="220" spans="1:19" x14ac:dyDescent="0.3">
      <c r="A220" s="79"/>
      <c r="B220" s="79"/>
      <c r="Q220" s="78" t="str">
        <f>IFERROR(INDEX(CustomerDetails!$A$1:$C$469,CustomerDetails!$P206,COLUMNS($Q220:Q220)),"")</f>
        <v/>
      </c>
      <c r="R220" s="78" t="str">
        <f>IFERROR(INDEX(CustomerDetails!$A$1:$C$469,CustomerDetails!$P206,COLUMNS($Q220:R220)),"")</f>
        <v/>
      </c>
      <c r="S220" s="78" t="str">
        <f>IFERROR(INDEX(CustomerDetails!$A$1:$C$469,CustomerDetails!$P206,COLUMNS($Q220:S220)),"")</f>
        <v/>
      </c>
    </row>
    <row r="221" spans="1:19" x14ac:dyDescent="0.3">
      <c r="A221" s="79"/>
      <c r="B221" s="79"/>
      <c r="Q221" s="78" t="str">
        <f>IFERROR(INDEX(CustomerDetails!$A$1:$C$469,CustomerDetails!$P207,COLUMNS($Q221:Q221)),"")</f>
        <v/>
      </c>
      <c r="R221" s="78" t="str">
        <f>IFERROR(INDEX(CustomerDetails!$A$1:$C$469,CustomerDetails!$P207,COLUMNS($Q221:R221)),"")</f>
        <v/>
      </c>
      <c r="S221" s="78" t="str">
        <f>IFERROR(INDEX(CustomerDetails!$A$1:$C$469,CustomerDetails!$P207,COLUMNS($Q221:S221)),"")</f>
        <v/>
      </c>
    </row>
    <row r="222" spans="1:19" x14ac:dyDescent="0.3">
      <c r="A222" s="79"/>
      <c r="B222" s="79"/>
      <c r="Q222" s="78" t="str">
        <f>IFERROR(INDEX(CustomerDetails!$A$1:$C$469,CustomerDetails!$P208,COLUMNS($Q222:Q222)),"")</f>
        <v/>
      </c>
      <c r="R222" s="78" t="str">
        <f>IFERROR(INDEX(CustomerDetails!$A$1:$C$469,CustomerDetails!$P208,COLUMNS($Q222:R222)),"")</f>
        <v/>
      </c>
      <c r="S222" s="78" t="str">
        <f>IFERROR(INDEX(CustomerDetails!$A$1:$C$469,CustomerDetails!$P208,COLUMNS($Q222:S222)),"")</f>
        <v/>
      </c>
    </row>
    <row r="223" spans="1:19" x14ac:dyDescent="0.3">
      <c r="A223" s="79"/>
      <c r="B223" s="79"/>
      <c r="Q223" s="78" t="str">
        <f>IFERROR(INDEX(CustomerDetails!$A$1:$C$469,CustomerDetails!$P209,COLUMNS($Q223:Q223)),"")</f>
        <v/>
      </c>
      <c r="R223" s="78" t="str">
        <f>IFERROR(INDEX(CustomerDetails!$A$1:$C$469,CustomerDetails!$P209,COLUMNS($Q223:R223)),"")</f>
        <v/>
      </c>
      <c r="S223" s="78" t="str">
        <f>IFERROR(INDEX(CustomerDetails!$A$1:$C$469,CustomerDetails!$P209,COLUMNS($Q223:S223)),"")</f>
        <v/>
      </c>
    </row>
    <row r="224" spans="1:19" x14ac:dyDescent="0.3">
      <c r="A224" s="79"/>
      <c r="B224" s="79"/>
      <c r="Q224" s="78" t="str">
        <f>IFERROR(INDEX(CustomerDetails!$A$1:$C$469,CustomerDetails!$P210,COLUMNS($Q224:Q224)),"")</f>
        <v/>
      </c>
      <c r="R224" s="78" t="str">
        <f>IFERROR(INDEX(CustomerDetails!$A$1:$C$469,CustomerDetails!$P210,COLUMNS($Q224:R224)),"")</f>
        <v/>
      </c>
      <c r="S224" s="78" t="str">
        <f>IFERROR(INDEX(CustomerDetails!$A$1:$C$469,CustomerDetails!$P210,COLUMNS($Q224:S224)),"")</f>
        <v/>
      </c>
    </row>
    <row r="225" spans="1:19" x14ac:dyDescent="0.3">
      <c r="A225" s="79"/>
      <c r="B225" s="79"/>
      <c r="Q225" s="78" t="str">
        <f>IFERROR(INDEX(CustomerDetails!$A$1:$C$469,CustomerDetails!$P211,COLUMNS($Q225:Q225)),"")</f>
        <v/>
      </c>
      <c r="R225" s="78" t="str">
        <f>IFERROR(INDEX(CustomerDetails!$A$1:$C$469,CustomerDetails!$P211,COLUMNS($Q225:R225)),"")</f>
        <v/>
      </c>
      <c r="S225" s="78" t="str">
        <f>IFERROR(INDEX(CustomerDetails!$A$1:$C$469,CustomerDetails!$P211,COLUMNS($Q225:S225)),"")</f>
        <v/>
      </c>
    </row>
    <row r="226" spans="1:19" x14ac:dyDescent="0.3">
      <c r="A226" s="79"/>
      <c r="B226" s="79"/>
      <c r="Q226" s="78" t="str">
        <f>IFERROR(INDEX(CustomerDetails!$A$1:$C$469,CustomerDetails!$P212,COLUMNS($Q226:Q226)),"")</f>
        <v/>
      </c>
      <c r="R226" s="78" t="str">
        <f>IFERROR(INDEX(CustomerDetails!$A$1:$C$469,CustomerDetails!$P212,COLUMNS($Q226:R226)),"")</f>
        <v/>
      </c>
      <c r="S226" s="78" t="str">
        <f>IFERROR(INDEX(CustomerDetails!$A$1:$C$469,CustomerDetails!$P212,COLUMNS($Q226:S226)),"")</f>
        <v/>
      </c>
    </row>
    <row r="227" spans="1:19" x14ac:dyDescent="0.3">
      <c r="A227" s="79"/>
      <c r="B227" s="79"/>
      <c r="Q227" s="78" t="str">
        <f>IFERROR(INDEX(CustomerDetails!$A$1:$C$469,CustomerDetails!$P213,COLUMNS($Q227:Q227)),"")</f>
        <v/>
      </c>
      <c r="R227" s="78" t="str">
        <f>IFERROR(INDEX(CustomerDetails!$A$1:$C$469,CustomerDetails!$P213,COLUMNS($Q227:R227)),"")</f>
        <v/>
      </c>
      <c r="S227" s="78" t="str">
        <f>IFERROR(INDEX(CustomerDetails!$A$1:$C$469,CustomerDetails!$P213,COLUMNS($Q227:S227)),"")</f>
        <v/>
      </c>
    </row>
    <row r="228" spans="1:19" x14ac:dyDescent="0.3">
      <c r="A228" s="79"/>
      <c r="B228" s="79"/>
      <c r="Q228" s="78" t="str">
        <f>IFERROR(INDEX(CustomerDetails!$A$1:$C$469,CustomerDetails!$P214,COLUMNS($Q228:Q228)),"")</f>
        <v/>
      </c>
      <c r="R228" s="78" t="str">
        <f>IFERROR(INDEX(CustomerDetails!$A$1:$C$469,CustomerDetails!$P214,COLUMNS($Q228:R228)),"")</f>
        <v/>
      </c>
      <c r="S228" s="78" t="str">
        <f>IFERROR(INDEX(CustomerDetails!$A$1:$C$469,CustomerDetails!$P214,COLUMNS($Q228:S228)),"")</f>
        <v/>
      </c>
    </row>
    <row r="229" spans="1:19" x14ac:dyDescent="0.3">
      <c r="A229" s="79"/>
      <c r="B229" s="79"/>
      <c r="Q229" s="78" t="str">
        <f>IFERROR(INDEX(CustomerDetails!$A$1:$C$469,CustomerDetails!$P215,COLUMNS($Q229:Q229)),"")</f>
        <v/>
      </c>
      <c r="R229" s="78" t="str">
        <f>IFERROR(INDEX(CustomerDetails!$A$1:$C$469,CustomerDetails!$P215,COLUMNS($Q229:R229)),"")</f>
        <v/>
      </c>
      <c r="S229" s="78" t="str">
        <f>IFERROR(INDEX(CustomerDetails!$A$1:$C$469,CustomerDetails!$P215,COLUMNS($Q229:S229)),"")</f>
        <v/>
      </c>
    </row>
    <row r="230" spans="1:19" x14ac:dyDescent="0.3">
      <c r="A230" s="79"/>
      <c r="B230" s="79"/>
      <c r="Q230" s="78" t="str">
        <f>IFERROR(INDEX(CustomerDetails!$A$1:$C$469,CustomerDetails!$P216,COLUMNS($Q230:Q230)),"")</f>
        <v/>
      </c>
      <c r="R230" s="78" t="str">
        <f>IFERROR(INDEX(CustomerDetails!$A$1:$C$469,CustomerDetails!$P216,COLUMNS($Q230:R230)),"")</f>
        <v/>
      </c>
      <c r="S230" s="78" t="str">
        <f>IFERROR(INDEX(CustomerDetails!$A$1:$C$469,CustomerDetails!$P216,COLUMNS($Q230:S230)),"")</f>
        <v/>
      </c>
    </row>
    <row r="231" spans="1:19" x14ac:dyDescent="0.3">
      <c r="A231" s="79"/>
      <c r="B231" s="79"/>
      <c r="Q231" s="78" t="str">
        <f>IFERROR(INDEX(CustomerDetails!$A$1:$C$469,CustomerDetails!$P217,COLUMNS($Q231:Q231)),"")</f>
        <v/>
      </c>
      <c r="R231" s="78" t="str">
        <f>IFERROR(INDEX(CustomerDetails!$A$1:$C$469,CustomerDetails!$P217,COLUMNS($Q231:R231)),"")</f>
        <v/>
      </c>
      <c r="S231" s="78" t="str">
        <f>IFERROR(INDEX(CustomerDetails!$A$1:$C$469,CustomerDetails!$P217,COLUMNS($Q231:S231)),"")</f>
        <v/>
      </c>
    </row>
    <row r="232" spans="1:19" x14ac:dyDescent="0.3">
      <c r="A232" s="79"/>
      <c r="B232" s="79"/>
      <c r="Q232" s="78" t="str">
        <f>IFERROR(INDEX(CustomerDetails!$A$1:$C$469,CustomerDetails!$P218,COLUMNS($Q232:Q232)),"")</f>
        <v/>
      </c>
      <c r="R232" s="78" t="str">
        <f>IFERROR(INDEX(CustomerDetails!$A$1:$C$469,CustomerDetails!$P218,COLUMNS($Q232:R232)),"")</f>
        <v/>
      </c>
      <c r="S232" s="78" t="str">
        <f>IFERROR(INDEX(CustomerDetails!$A$1:$C$469,CustomerDetails!$P218,COLUMNS($Q232:S232)),"")</f>
        <v/>
      </c>
    </row>
    <row r="233" spans="1:19" x14ac:dyDescent="0.3">
      <c r="A233" s="79"/>
      <c r="B233" s="79"/>
      <c r="Q233" s="78" t="str">
        <f>IFERROR(INDEX(CustomerDetails!$A$1:$C$469,CustomerDetails!$P219,COLUMNS($Q233:Q233)),"")</f>
        <v/>
      </c>
      <c r="R233" s="78" t="str">
        <f>IFERROR(INDEX(CustomerDetails!$A$1:$C$469,CustomerDetails!$P219,COLUMNS($Q233:R233)),"")</f>
        <v/>
      </c>
      <c r="S233" s="78" t="str">
        <f>IFERROR(INDEX(CustomerDetails!$A$1:$C$469,CustomerDetails!$P219,COLUMNS($Q233:S233)),"")</f>
        <v/>
      </c>
    </row>
    <row r="234" spans="1:19" x14ac:dyDescent="0.3">
      <c r="A234" s="79"/>
      <c r="B234" s="79"/>
      <c r="Q234" s="78" t="str">
        <f>IFERROR(INDEX(CustomerDetails!$A$1:$C$469,CustomerDetails!$P220,COLUMNS($Q234:Q234)),"")</f>
        <v/>
      </c>
      <c r="R234" s="78" t="str">
        <f>IFERROR(INDEX(CustomerDetails!$A$1:$C$469,CustomerDetails!$P220,COLUMNS($Q234:R234)),"")</f>
        <v/>
      </c>
      <c r="S234" s="78" t="str">
        <f>IFERROR(INDEX(CustomerDetails!$A$1:$C$469,CustomerDetails!$P220,COLUMNS($Q234:S234)),"")</f>
        <v/>
      </c>
    </row>
    <row r="235" spans="1:19" x14ac:dyDescent="0.3">
      <c r="A235" s="79"/>
      <c r="B235" s="79"/>
      <c r="Q235" s="78" t="str">
        <f>IFERROR(INDEX(CustomerDetails!$A$1:$C$469,CustomerDetails!$P221,COLUMNS($Q235:Q235)),"")</f>
        <v/>
      </c>
      <c r="R235" s="78" t="str">
        <f>IFERROR(INDEX(CustomerDetails!$A$1:$C$469,CustomerDetails!$P221,COLUMNS($Q235:R235)),"")</f>
        <v/>
      </c>
      <c r="S235" s="78" t="str">
        <f>IFERROR(INDEX(CustomerDetails!$A$1:$C$469,CustomerDetails!$P221,COLUMNS($Q235:S235)),"")</f>
        <v/>
      </c>
    </row>
    <row r="236" spans="1:19" x14ac:dyDescent="0.3">
      <c r="A236" s="79"/>
      <c r="B236" s="79"/>
      <c r="Q236" s="78" t="str">
        <f>IFERROR(INDEX(CustomerDetails!$A$1:$C$469,CustomerDetails!$P222,COLUMNS($Q236:Q236)),"")</f>
        <v/>
      </c>
      <c r="R236" s="78" t="str">
        <f>IFERROR(INDEX(CustomerDetails!$A$1:$C$469,CustomerDetails!$P222,COLUMNS($Q236:R236)),"")</f>
        <v/>
      </c>
      <c r="S236" s="78" t="str">
        <f>IFERROR(INDEX(CustomerDetails!$A$1:$C$469,CustomerDetails!$P222,COLUMNS($Q236:S236)),"")</f>
        <v/>
      </c>
    </row>
    <row r="237" spans="1:19" x14ac:dyDescent="0.3">
      <c r="A237" s="79"/>
      <c r="B237" s="79"/>
      <c r="Q237" s="78" t="str">
        <f>IFERROR(INDEX(CustomerDetails!$A$1:$C$469,CustomerDetails!$P223,COLUMNS($Q237:Q237)),"")</f>
        <v/>
      </c>
      <c r="R237" s="78" t="str">
        <f>IFERROR(INDEX(CustomerDetails!$A$1:$C$469,CustomerDetails!$P223,COLUMNS($Q237:R237)),"")</f>
        <v/>
      </c>
      <c r="S237" s="78" t="str">
        <f>IFERROR(INDEX(CustomerDetails!$A$1:$C$469,CustomerDetails!$P223,COLUMNS($Q237:S237)),"")</f>
        <v/>
      </c>
    </row>
    <row r="238" spans="1:19" x14ac:dyDescent="0.3">
      <c r="A238" s="79"/>
      <c r="B238" s="79"/>
      <c r="Q238" s="78" t="str">
        <f>IFERROR(INDEX(CustomerDetails!$A$1:$C$469,CustomerDetails!$P224,COLUMNS($Q238:Q238)),"")</f>
        <v/>
      </c>
      <c r="R238" s="78" t="str">
        <f>IFERROR(INDEX(CustomerDetails!$A$1:$C$469,CustomerDetails!$P224,COLUMNS($Q238:R238)),"")</f>
        <v/>
      </c>
      <c r="S238" s="78" t="str">
        <f>IFERROR(INDEX(CustomerDetails!$A$1:$C$469,CustomerDetails!$P224,COLUMNS($Q238:S238)),"")</f>
        <v/>
      </c>
    </row>
    <row r="239" spans="1:19" x14ac:dyDescent="0.3">
      <c r="A239" s="79"/>
      <c r="B239" s="79"/>
      <c r="Q239" s="78" t="str">
        <f>IFERROR(INDEX(CustomerDetails!$A$1:$C$469,CustomerDetails!$P225,COLUMNS($Q239:Q239)),"")</f>
        <v/>
      </c>
      <c r="R239" s="78" t="str">
        <f>IFERROR(INDEX(CustomerDetails!$A$1:$C$469,CustomerDetails!$P225,COLUMNS($Q239:R239)),"")</f>
        <v/>
      </c>
      <c r="S239" s="78" t="str">
        <f>IFERROR(INDEX(CustomerDetails!$A$1:$C$469,CustomerDetails!$P225,COLUMNS($Q239:S239)),"")</f>
        <v/>
      </c>
    </row>
    <row r="240" spans="1:19" x14ac:dyDescent="0.3">
      <c r="A240" s="79"/>
      <c r="B240" s="79"/>
      <c r="Q240" s="78" t="str">
        <f>IFERROR(INDEX(CustomerDetails!$A$1:$C$469,CustomerDetails!$P226,COLUMNS($Q240:Q240)),"")</f>
        <v/>
      </c>
      <c r="R240" s="78" t="str">
        <f>IFERROR(INDEX(CustomerDetails!$A$1:$C$469,CustomerDetails!$P226,COLUMNS($Q240:R240)),"")</f>
        <v/>
      </c>
      <c r="S240" s="78" t="str">
        <f>IFERROR(INDEX(CustomerDetails!$A$1:$C$469,CustomerDetails!$P226,COLUMNS($Q240:S240)),"")</f>
        <v/>
      </c>
    </row>
    <row r="241" spans="1:19" x14ac:dyDescent="0.3">
      <c r="A241" s="79"/>
      <c r="B241" s="79"/>
      <c r="Q241" s="78" t="str">
        <f>IFERROR(INDEX(CustomerDetails!$A$1:$C$469,CustomerDetails!$P227,COLUMNS($Q241:Q241)),"")</f>
        <v/>
      </c>
      <c r="R241" s="78" t="str">
        <f>IFERROR(INDEX(CustomerDetails!$A$1:$C$469,CustomerDetails!$P227,COLUMNS($Q241:R241)),"")</f>
        <v/>
      </c>
      <c r="S241" s="78" t="str">
        <f>IFERROR(INDEX(CustomerDetails!$A$1:$C$469,CustomerDetails!$P227,COLUMNS($Q241:S241)),"")</f>
        <v/>
      </c>
    </row>
    <row r="242" spans="1:19" x14ac:dyDescent="0.3">
      <c r="A242" s="79"/>
      <c r="B242" s="79"/>
      <c r="Q242" s="78" t="str">
        <f>IFERROR(INDEX(CustomerDetails!$A$1:$C$469,CustomerDetails!$P228,COLUMNS($Q242:Q242)),"")</f>
        <v/>
      </c>
      <c r="R242" s="78" t="str">
        <f>IFERROR(INDEX(CustomerDetails!$A$1:$C$469,CustomerDetails!$P228,COLUMNS($Q242:R242)),"")</f>
        <v/>
      </c>
      <c r="S242" s="78" t="str">
        <f>IFERROR(INDEX(CustomerDetails!$A$1:$C$469,CustomerDetails!$P228,COLUMNS($Q242:S242)),"")</f>
        <v/>
      </c>
    </row>
    <row r="243" spans="1:19" x14ac:dyDescent="0.3">
      <c r="A243" s="79"/>
      <c r="B243" s="79"/>
      <c r="Q243" s="78" t="str">
        <f>IFERROR(INDEX(CustomerDetails!$A$1:$C$469,CustomerDetails!$P229,COLUMNS($Q243:Q243)),"")</f>
        <v/>
      </c>
      <c r="R243" s="78" t="str">
        <f>IFERROR(INDEX(CustomerDetails!$A$1:$C$469,CustomerDetails!$P229,COLUMNS($Q243:R243)),"")</f>
        <v/>
      </c>
      <c r="S243" s="78" t="str">
        <f>IFERROR(INDEX(CustomerDetails!$A$1:$C$469,CustomerDetails!$P229,COLUMNS($Q243:S243)),"")</f>
        <v/>
      </c>
    </row>
    <row r="244" spans="1:19" x14ac:dyDescent="0.3">
      <c r="A244" s="79"/>
      <c r="B244" s="79"/>
      <c r="Q244" s="78" t="str">
        <f>IFERROR(INDEX(CustomerDetails!$A$1:$C$469,CustomerDetails!$P230,COLUMNS($Q244:Q244)),"")</f>
        <v/>
      </c>
      <c r="R244" s="78" t="str">
        <f>IFERROR(INDEX(CustomerDetails!$A$1:$C$469,CustomerDetails!$P230,COLUMNS($Q244:R244)),"")</f>
        <v/>
      </c>
      <c r="S244" s="78" t="str">
        <f>IFERROR(INDEX(CustomerDetails!$A$1:$C$469,CustomerDetails!$P230,COLUMNS($Q244:S244)),"")</f>
        <v/>
      </c>
    </row>
    <row r="245" spans="1:19" x14ac:dyDescent="0.3">
      <c r="A245" s="79"/>
      <c r="B245" s="79"/>
      <c r="Q245" s="78" t="str">
        <f>IFERROR(INDEX(CustomerDetails!$A$1:$C$469,CustomerDetails!$P231,COLUMNS($Q245:Q245)),"")</f>
        <v/>
      </c>
      <c r="R245" s="78" t="str">
        <f>IFERROR(INDEX(CustomerDetails!$A$1:$C$469,CustomerDetails!$P231,COLUMNS($Q245:R245)),"")</f>
        <v/>
      </c>
      <c r="S245" s="78" t="str">
        <f>IFERROR(INDEX(CustomerDetails!$A$1:$C$469,CustomerDetails!$P231,COLUMNS($Q245:S245)),"")</f>
        <v/>
      </c>
    </row>
    <row r="246" spans="1:19" x14ac:dyDescent="0.3">
      <c r="A246" s="79"/>
      <c r="B246" s="79"/>
      <c r="Q246" s="78" t="str">
        <f>IFERROR(INDEX(CustomerDetails!$A$1:$C$469,CustomerDetails!$P232,COLUMNS($Q246:Q246)),"")</f>
        <v/>
      </c>
      <c r="R246" s="78" t="str">
        <f>IFERROR(INDEX(CustomerDetails!$A$1:$C$469,CustomerDetails!$P232,COLUMNS($Q246:R246)),"")</f>
        <v/>
      </c>
      <c r="S246" s="78" t="str">
        <f>IFERROR(INDEX(CustomerDetails!$A$1:$C$469,CustomerDetails!$P232,COLUMNS($Q246:S246)),"")</f>
        <v/>
      </c>
    </row>
    <row r="247" spans="1:19" x14ac:dyDescent="0.3">
      <c r="A247" s="79"/>
      <c r="B247" s="79"/>
      <c r="Q247" s="78" t="str">
        <f>IFERROR(INDEX(CustomerDetails!$A$1:$C$469,CustomerDetails!$P233,COLUMNS($Q247:Q247)),"")</f>
        <v/>
      </c>
      <c r="R247" s="78" t="str">
        <f>IFERROR(INDEX(CustomerDetails!$A$1:$C$469,CustomerDetails!$P233,COLUMNS($Q247:R247)),"")</f>
        <v/>
      </c>
      <c r="S247" s="78" t="str">
        <f>IFERROR(INDEX(CustomerDetails!$A$1:$C$469,CustomerDetails!$P233,COLUMNS($Q247:S247)),"")</f>
        <v/>
      </c>
    </row>
    <row r="248" spans="1:19" x14ac:dyDescent="0.3">
      <c r="A248" s="79"/>
      <c r="B248" s="79"/>
      <c r="Q248" s="78" t="str">
        <f>IFERROR(INDEX(CustomerDetails!$A$1:$C$469,CustomerDetails!$P234,COLUMNS($Q248:Q248)),"")</f>
        <v/>
      </c>
      <c r="R248" s="78" t="str">
        <f>IFERROR(INDEX(CustomerDetails!$A$1:$C$469,CustomerDetails!$P234,COLUMNS($Q248:R248)),"")</f>
        <v/>
      </c>
      <c r="S248" s="78" t="str">
        <f>IFERROR(INDEX(CustomerDetails!$A$1:$C$469,CustomerDetails!$P234,COLUMNS($Q248:S248)),"")</f>
        <v/>
      </c>
    </row>
    <row r="249" spans="1:19" x14ac:dyDescent="0.3">
      <c r="A249" s="79"/>
      <c r="B249" s="79"/>
      <c r="Q249" s="78" t="str">
        <f>IFERROR(INDEX(CustomerDetails!$A$1:$C$469,CustomerDetails!$P235,COLUMNS($Q249:Q249)),"")</f>
        <v/>
      </c>
      <c r="R249" s="78" t="str">
        <f>IFERROR(INDEX(CustomerDetails!$A$1:$C$469,CustomerDetails!$P235,COLUMNS($Q249:R249)),"")</f>
        <v/>
      </c>
      <c r="S249" s="78" t="str">
        <f>IFERROR(INDEX(CustomerDetails!$A$1:$C$469,CustomerDetails!$P235,COLUMNS($Q249:S249)),"")</f>
        <v/>
      </c>
    </row>
    <row r="250" spans="1:19" x14ac:dyDescent="0.3">
      <c r="A250" s="79"/>
      <c r="B250" s="79"/>
      <c r="Q250" s="78" t="str">
        <f>IFERROR(INDEX(CustomerDetails!$A$1:$C$469,CustomerDetails!$P236,COLUMNS($Q250:Q250)),"")</f>
        <v/>
      </c>
      <c r="R250" s="78" t="str">
        <f>IFERROR(INDEX(CustomerDetails!$A$1:$C$469,CustomerDetails!$P236,COLUMNS($Q250:R250)),"")</f>
        <v/>
      </c>
      <c r="S250" s="78" t="str">
        <f>IFERROR(INDEX(CustomerDetails!$A$1:$C$469,CustomerDetails!$P236,COLUMNS($Q250:S250)),"")</f>
        <v/>
      </c>
    </row>
    <row r="251" spans="1:19" x14ac:dyDescent="0.3">
      <c r="A251" s="79"/>
      <c r="B251" s="79"/>
      <c r="Q251" s="78" t="str">
        <f>IFERROR(INDEX(CustomerDetails!$A$1:$C$469,CustomerDetails!$P237,COLUMNS($Q251:Q251)),"")</f>
        <v/>
      </c>
      <c r="R251" s="78" t="str">
        <f>IFERROR(INDEX(CustomerDetails!$A$1:$C$469,CustomerDetails!$P237,COLUMNS($Q251:R251)),"")</f>
        <v/>
      </c>
      <c r="S251" s="78" t="str">
        <f>IFERROR(INDEX(CustomerDetails!$A$1:$C$469,CustomerDetails!$P237,COLUMNS($Q251:S251)),"")</f>
        <v/>
      </c>
    </row>
    <row r="252" spans="1:19" x14ac:dyDescent="0.3">
      <c r="A252" s="79"/>
      <c r="B252" s="79"/>
      <c r="Q252" s="78" t="str">
        <f>IFERROR(INDEX(CustomerDetails!$A$1:$C$469,CustomerDetails!$P238,COLUMNS($Q252:Q252)),"")</f>
        <v/>
      </c>
      <c r="R252" s="78" t="str">
        <f>IFERROR(INDEX(CustomerDetails!$A$1:$C$469,CustomerDetails!$P238,COLUMNS($Q252:R252)),"")</f>
        <v/>
      </c>
      <c r="S252" s="78" t="str">
        <f>IFERROR(INDEX(CustomerDetails!$A$1:$C$469,CustomerDetails!$P238,COLUMNS($Q252:S252)),"")</f>
        <v/>
      </c>
    </row>
    <row r="253" spans="1:19" x14ac:dyDescent="0.3">
      <c r="A253" s="79"/>
      <c r="B253" s="79"/>
      <c r="Q253" s="78" t="str">
        <f>IFERROR(INDEX(CustomerDetails!$A$1:$C$469,CustomerDetails!$P239,COLUMNS($Q253:Q253)),"")</f>
        <v/>
      </c>
      <c r="R253" s="78" t="str">
        <f>IFERROR(INDEX(CustomerDetails!$A$1:$C$469,CustomerDetails!$P239,COLUMNS($Q253:R253)),"")</f>
        <v/>
      </c>
      <c r="S253" s="78" t="str">
        <f>IFERROR(INDEX(CustomerDetails!$A$1:$C$469,CustomerDetails!$P239,COLUMNS($Q253:S253)),"")</f>
        <v/>
      </c>
    </row>
    <row r="254" spans="1:19" x14ac:dyDescent="0.3">
      <c r="A254" s="79"/>
      <c r="B254" s="79"/>
      <c r="Q254" s="78" t="str">
        <f>IFERROR(INDEX(CustomerDetails!$A$1:$C$469,CustomerDetails!$P240,COLUMNS($Q254:Q254)),"")</f>
        <v/>
      </c>
      <c r="R254" s="78" t="str">
        <f>IFERROR(INDEX(CustomerDetails!$A$1:$C$469,CustomerDetails!$P240,COLUMNS($Q254:R254)),"")</f>
        <v/>
      </c>
      <c r="S254" s="78" t="str">
        <f>IFERROR(INDEX(CustomerDetails!$A$1:$C$469,CustomerDetails!$P240,COLUMNS($Q254:S254)),"")</f>
        <v/>
      </c>
    </row>
    <row r="255" spans="1:19" x14ac:dyDescent="0.3">
      <c r="A255" s="79"/>
      <c r="B255" s="79"/>
      <c r="Q255" s="78" t="str">
        <f>IFERROR(INDEX(CustomerDetails!$A$1:$C$469,CustomerDetails!$P241,COLUMNS($Q255:Q255)),"")</f>
        <v/>
      </c>
      <c r="R255" s="78" t="str">
        <f>IFERROR(INDEX(CustomerDetails!$A$1:$C$469,CustomerDetails!$P241,COLUMNS($Q255:R255)),"")</f>
        <v/>
      </c>
      <c r="S255" s="78" t="str">
        <f>IFERROR(INDEX(CustomerDetails!$A$1:$C$469,CustomerDetails!$P241,COLUMNS($Q255:S255)),"")</f>
        <v/>
      </c>
    </row>
    <row r="256" spans="1:19" x14ac:dyDescent="0.3">
      <c r="A256" s="79"/>
      <c r="B256" s="79"/>
      <c r="Q256" s="78" t="str">
        <f>IFERROR(INDEX(CustomerDetails!$A$1:$C$469,CustomerDetails!$P242,COLUMNS($Q256:Q256)),"")</f>
        <v/>
      </c>
      <c r="R256" s="78" t="str">
        <f>IFERROR(INDEX(CustomerDetails!$A$1:$C$469,CustomerDetails!$P242,COLUMNS($Q256:R256)),"")</f>
        <v/>
      </c>
      <c r="S256" s="78" t="str">
        <f>IFERROR(INDEX(CustomerDetails!$A$1:$C$469,CustomerDetails!$P242,COLUMNS($Q256:S256)),"")</f>
        <v/>
      </c>
    </row>
    <row r="257" spans="1:19" x14ac:dyDescent="0.3">
      <c r="A257" s="79"/>
      <c r="B257" s="79"/>
      <c r="Q257" s="78" t="str">
        <f>IFERROR(INDEX(CustomerDetails!$A$1:$C$469,CustomerDetails!$P243,COLUMNS($Q257:Q257)),"")</f>
        <v/>
      </c>
      <c r="R257" s="78" t="str">
        <f>IFERROR(INDEX(CustomerDetails!$A$1:$C$469,CustomerDetails!$P243,COLUMNS($Q257:R257)),"")</f>
        <v/>
      </c>
      <c r="S257" s="78" t="str">
        <f>IFERROR(INDEX(CustomerDetails!$A$1:$C$469,CustomerDetails!$P243,COLUMNS($Q257:S257)),"")</f>
        <v/>
      </c>
    </row>
    <row r="258" spans="1:19" x14ac:dyDescent="0.3">
      <c r="A258" s="79"/>
      <c r="B258" s="79"/>
      <c r="Q258" s="78" t="str">
        <f>IFERROR(INDEX(CustomerDetails!$A$1:$C$469,CustomerDetails!$P244,COLUMNS($Q258:Q258)),"")</f>
        <v/>
      </c>
      <c r="R258" s="78" t="str">
        <f>IFERROR(INDEX(CustomerDetails!$A$1:$C$469,CustomerDetails!$P244,COLUMNS($Q258:R258)),"")</f>
        <v/>
      </c>
      <c r="S258" s="78" t="str">
        <f>IFERROR(INDEX(CustomerDetails!$A$1:$C$469,CustomerDetails!$P244,COLUMNS($Q258:S258)),"")</f>
        <v/>
      </c>
    </row>
    <row r="259" spans="1:19" x14ac:dyDescent="0.3">
      <c r="A259" s="79"/>
      <c r="B259" s="79"/>
      <c r="Q259" s="78" t="str">
        <f>IFERROR(INDEX(CustomerDetails!$A$1:$C$469,CustomerDetails!$P245,COLUMNS($Q259:Q259)),"")</f>
        <v/>
      </c>
      <c r="R259" s="78" t="str">
        <f>IFERROR(INDEX(CustomerDetails!$A$1:$C$469,CustomerDetails!$P245,COLUMNS($Q259:R259)),"")</f>
        <v/>
      </c>
      <c r="S259" s="78" t="str">
        <f>IFERROR(INDEX(CustomerDetails!$A$1:$C$469,CustomerDetails!$P245,COLUMNS($Q259:S259)),"")</f>
        <v/>
      </c>
    </row>
    <row r="260" spans="1:19" x14ac:dyDescent="0.3">
      <c r="A260" s="79"/>
      <c r="B260" s="79"/>
      <c r="Q260" s="78" t="str">
        <f>IFERROR(INDEX(CustomerDetails!$A$1:$C$469,CustomerDetails!$P246,COLUMNS($Q260:Q260)),"")</f>
        <v/>
      </c>
      <c r="R260" s="78" t="str">
        <f>IFERROR(INDEX(CustomerDetails!$A$1:$C$469,CustomerDetails!$P246,COLUMNS($Q260:R260)),"")</f>
        <v/>
      </c>
      <c r="S260" s="78" t="str">
        <f>IFERROR(INDEX(CustomerDetails!$A$1:$C$469,CustomerDetails!$P246,COLUMNS($Q260:S260)),"")</f>
        <v/>
      </c>
    </row>
    <row r="261" spans="1:19" x14ac:dyDescent="0.3">
      <c r="A261" s="79"/>
      <c r="B261" s="79"/>
      <c r="Q261" s="78" t="str">
        <f>IFERROR(INDEX(CustomerDetails!$A$1:$C$469,CustomerDetails!$P247,COLUMNS($Q261:Q261)),"")</f>
        <v/>
      </c>
      <c r="R261" s="78" t="str">
        <f>IFERROR(INDEX(CustomerDetails!$A$1:$C$469,CustomerDetails!$P247,COLUMNS($Q261:R261)),"")</f>
        <v/>
      </c>
      <c r="S261" s="78" t="str">
        <f>IFERROR(INDEX(CustomerDetails!$A$1:$C$469,CustomerDetails!$P247,COLUMNS($Q261:S261)),"")</f>
        <v/>
      </c>
    </row>
    <row r="262" spans="1:19" x14ac:dyDescent="0.3">
      <c r="A262" s="79"/>
      <c r="B262" s="79"/>
      <c r="Q262" s="78" t="str">
        <f>IFERROR(INDEX(CustomerDetails!$A$1:$C$469,CustomerDetails!$P248,COLUMNS($Q262:Q262)),"")</f>
        <v/>
      </c>
      <c r="R262" s="78" t="str">
        <f>IFERROR(INDEX(CustomerDetails!$A$1:$C$469,CustomerDetails!$P248,COLUMNS($Q262:R262)),"")</f>
        <v/>
      </c>
      <c r="S262" s="78" t="str">
        <f>IFERROR(INDEX(CustomerDetails!$A$1:$C$469,CustomerDetails!$P248,COLUMNS($Q262:S262)),"")</f>
        <v/>
      </c>
    </row>
    <row r="263" spans="1:19" x14ac:dyDescent="0.3">
      <c r="A263" s="79"/>
      <c r="B263" s="79"/>
      <c r="Q263" s="78" t="str">
        <f>IFERROR(INDEX(CustomerDetails!$A$1:$C$469,CustomerDetails!$P249,COLUMNS($Q263:Q263)),"")</f>
        <v/>
      </c>
      <c r="R263" s="78" t="str">
        <f>IFERROR(INDEX(CustomerDetails!$A$1:$C$469,CustomerDetails!$P249,COLUMNS($Q263:R263)),"")</f>
        <v/>
      </c>
      <c r="S263" s="78" t="str">
        <f>IFERROR(INDEX(CustomerDetails!$A$1:$C$469,CustomerDetails!$P249,COLUMNS($Q263:S263)),"")</f>
        <v/>
      </c>
    </row>
    <row r="264" spans="1:19" x14ac:dyDescent="0.3">
      <c r="A264" s="79"/>
      <c r="B264" s="79"/>
      <c r="Q264" s="78" t="str">
        <f>IFERROR(INDEX(CustomerDetails!$A$1:$C$469,CustomerDetails!$P250,COLUMNS($Q264:Q264)),"")</f>
        <v/>
      </c>
      <c r="R264" s="78" t="str">
        <f>IFERROR(INDEX(CustomerDetails!$A$1:$C$469,CustomerDetails!$P250,COLUMNS($Q264:R264)),"")</f>
        <v/>
      </c>
      <c r="S264" s="78" t="str">
        <f>IFERROR(INDEX(CustomerDetails!$A$1:$C$469,CustomerDetails!$P250,COLUMNS($Q264:S264)),"")</f>
        <v/>
      </c>
    </row>
    <row r="265" spans="1:19" x14ac:dyDescent="0.3">
      <c r="A265" s="79"/>
      <c r="B265" s="79"/>
      <c r="Q265" s="78" t="str">
        <f>IFERROR(INDEX(CustomerDetails!$A$1:$C$469,CustomerDetails!$P251,COLUMNS($Q265:Q265)),"")</f>
        <v/>
      </c>
      <c r="R265" s="78" t="str">
        <f>IFERROR(INDEX(CustomerDetails!$A$1:$C$469,CustomerDetails!$P251,COLUMNS($Q265:R265)),"")</f>
        <v/>
      </c>
      <c r="S265" s="78" t="str">
        <f>IFERROR(INDEX(CustomerDetails!$A$1:$C$469,CustomerDetails!$P251,COLUMNS($Q265:S265)),"")</f>
        <v/>
      </c>
    </row>
    <row r="266" spans="1:19" x14ac:dyDescent="0.3">
      <c r="A266" s="79"/>
      <c r="B266" s="79"/>
      <c r="Q266" s="78" t="str">
        <f>IFERROR(INDEX(CustomerDetails!$A$1:$C$469,CustomerDetails!$P252,COLUMNS($Q266:Q266)),"")</f>
        <v/>
      </c>
      <c r="R266" s="78" t="str">
        <f>IFERROR(INDEX(CustomerDetails!$A$1:$C$469,CustomerDetails!$P252,COLUMNS($Q266:R266)),"")</f>
        <v/>
      </c>
      <c r="S266" s="78" t="str">
        <f>IFERROR(INDEX(CustomerDetails!$A$1:$C$469,CustomerDetails!$P252,COLUMNS($Q266:S266)),"")</f>
        <v/>
      </c>
    </row>
    <row r="267" spans="1:19" x14ac:dyDescent="0.3">
      <c r="A267" s="79"/>
      <c r="B267" s="79"/>
      <c r="Q267" s="78" t="str">
        <f>IFERROR(INDEX(CustomerDetails!$A$1:$C$469,CustomerDetails!$P253,COLUMNS($Q267:Q267)),"")</f>
        <v/>
      </c>
      <c r="R267" s="78" t="str">
        <f>IFERROR(INDEX(CustomerDetails!$A$1:$C$469,CustomerDetails!$P253,COLUMNS($Q267:R267)),"")</f>
        <v/>
      </c>
      <c r="S267" s="78" t="str">
        <f>IFERROR(INDEX(CustomerDetails!$A$1:$C$469,CustomerDetails!$P253,COLUMNS($Q267:S267)),"")</f>
        <v/>
      </c>
    </row>
    <row r="268" spans="1:19" x14ac:dyDescent="0.3">
      <c r="A268" s="79"/>
      <c r="B268" s="79"/>
      <c r="Q268" s="78" t="str">
        <f>IFERROR(INDEX(CustomerDetails!$A$1:$C$469,CustomerDetails!$P254,COLUMNS($Q268:Q268)),"")</f>
        <v/>
      </c>
      <c r="R268" s="78" t="str">
        <f>IFERROR(INDEX(CustomerDetails!$A$1:$C$469,CustomerDetails!$P254,COLUMNS($Q268:R268)),"")</f>
        <v/>
      </c>
      <c r="S268" s="78" t="str">
        <f>IFERROR(INDEX(CustomerDetails!$A$1:$C$469,CustomerDetails!$P254,COLUMNS($Q268:S268)),"")</f>
        <v/>
      </c>
    </row>
    <row r="269" spans="1:19" x14ac:dyDescent="0.3">
      <c r="A269" s="79"/>
      <c r="B269" s="79"/>
      <c r="Q269" s="78" t="str">
        <f>IFERROR(INDEX(CustomerDetails!$A$1:$C$469,CustomerDetails!$P255,COLUMNS($Q269:Q269)),"")</f>
        <v/>
      </c>
      <c r="R269" s="78" t="str">
        <f>IFERROR(INDEX(CustomerDetails!$A$1:$C$469,CustomerDetails!$P255,COLUMNS($Q269:R269)),"")</f>
        <v/>
      </c>
      <c r="S269" s="78" t="str">
        <f>IFERROR(INDEX(CustomerDetails!$A$1:$C$469,CustomerDetails!$P255,COLUMNS($Q269:S269)),"")</f>
        <v/>
      </c>
    </row>
    <row r="270" spans="1:19" x14ac:dyDescent="0.3">
      <c r="A270" s="79"/>
      <c r="B270" s="79"/>
      <c r="Q270" s="78" t="str">
        <f>IFERROR(INDEX(CustomerDetails!$A$1:$C$469,CustomerDetails!$P256,COLUMNS($Q270:Q270)),"")</f>
        <v/>
      </c>
      <c r="R270" s="78" t="str">
        <f>IFERROR(INDEX(CustomerDetails!$A$1:$C$469,CustomerDetails!$P256,COLUMNS($Q270:R270)),"")</f>
        <v/>
      </c>
      <c r="S270" s="78" t="str">
        <f>IFERROR(INDEX(CustomerDetails!$A$1:$C$469,CustomerDetails!$P256,COLUMNS($Q270:S270)),"")</f>
        <v/>
      </c>
    </row>
    <row r="271" spans="1:19" x14ac:dyDescent="0.3">
      <c r="A271" s="79"/>
      <c r="B271" s="79"/>
      <c r="Q271" s="78" t="str">
        <f>IFERROR(INDEX(CustomerDetails!$A$1:$C$469,CustomerDetails!$P257,COLUMNS($Q271:Q271)),"")</f>
        <v/>
      </c>
      <c r="R271" s="78" t="str">
        <f>IFERROR(INDEX(CustomerDetails!$A$1:$C$469,CustomerDetails!$P257,COLUMNS($Q271:R271)),"")</f>
        <v/>
      </c>
      <c r="S271" s="78" t="str">
        <f>IFERROR(INDEX(CustomerDetails!$A$1:$C$469,CustomerDetails!$P257,COLUMNS($Q271:S271)),"")</f>
        <v/>
      </c>
    </row>
    <row r="272" spans="1:19" x14ac:dyDescent="0.3">
      <c r="A272" s="79"/>
      <c r="B272" s="79"/>
      <c r="Q272" s="78" t="str">
        <f>IFERROR(INDEX(CustomerDetails!$A$1:$C$469,CustomerDetails!$P258,COLUMNS($Q272:Q272)),"")</f>
        <v/>
      </c>
      <c r="R272" s="78" t="str">
        <f>IFERROR(INDEX(CustomerDetails!$A$1:$C$469,CustomerDetails!$P258,COLUMNS($Q272:R272)),"")</f>
        <v/>
      </c>
      <c r="S272" s="78" t="str">
        <f>IFERROR(INDEX(CustomerDetails!$A$1:$C$469,CustomerDetails!$P258,COLUMNS($Q272:S272)),"")</f>
        <v/>
      </c>
    </row>
    <row r="273" spans="1:19" x14ac:dyDescent="0.3">
      <c r="A273" s="79"/>
      <c r="B273" s="79"/>
      <c r="Q273" s="78" t="str">
        <f>IFERROR(INDEX(CustomerDetails!$A$1:$C$469,CustomerDetails!$P259,COLUMNS($Q273:Q273)),"")</f>
        <v/>
      </c>
      <c r="R273" s="78" t="str">
        <f>IFERROR(INDEX(CustomerDetails!$A$1:$C$469,CustomerDetails!$P259,COLUMNS($Q273:R273)),"")</f>
        <v/>
      </c>
      <c r="S273" s="78" t="str">
        <f>IFERROR(INDEX(CustomerDetails!$A$1:$C$469,CustomerDetails!$P259,COLUMNS($Q273:S273)),"")</f>
        <v/>
      </c>
    </row>
    <row r="274" spans="1:19" x14ac:dyDescent="0.3">
      <c r="A274" s="79"/>
      <c r="B274" s="79"/>
      <c r="Q274" s="78" t="str">
        <f>IFERROR(INDEX(CustomerDetails!$A$1:$C$469,CustomerDetails!$P260,COLUMNS($Q274:Q274)),"")</f>
        <v/>
      </c>
      <c r="R274" s="78" t="str">
        <f>IFERROR(INDEX(CustomerDetails!$A$1:$C$469,CustomerDetails!$P260,COLUMNS($Q274:R274)),"")</f>
        <v/>
      </c>
      <c r="S274" s="78" t="str">
        <f>IFERROR(INDEX(CustomerDetails!$A$1:$C$469,CustomerDetails!$P260,COLUMNS($Q274:S274)),"")</f>
        <v/>
      </c>
    </row>
    <row r="275" spans="1:19" x14ac:dyDescent="0.3">
      <c r="A275" s="79"/>
      <c r="B275" s="79"/>
      <c r="Q275" s="78" t="str">
        <f>IFERROR(INDEX(CustomerDetails!$A$1:$C$469,CustomerDetails!$P261,COLUMNS($Q275:Q275)),"")</f>
        <v/>
      </c>
      <c r="R275" s="78" t="str">
        <f>IFERROR(INDEX(CustomerDetails!$A$1:$C$469,CustomerDetails!$P261,COLUMNS($Q275:R275)),"")</f>
        <v/>
      </c>
      <c r="S275" s="78" t="str">
        <f>IFERROR(INDEX(CustomerDetails!$A$1:$C$469,CustomerDetails!$P261,COLUMNS($Q275:S275)),"")</f>
        <v/>
      </c>
    </row>
    <row r="276" spans="1:19" x14ac:dyDescent="0.3">
      <c r="A276" s="79"/>
      <c r="B276" s="79"/>
      <c r="Q276" s="78" t="str">
        <f>IFERROR(INDEX(CustomerDetails!$A$1:$C$469,CustomerDetails!$P262,COLUMNS($Q276:Q276)),"")</f>
        <v/>
      </c>
      <c r="R276" s="78" t="str">
        <f>IFERROR(INDEX(CustomerDetails!$A$1:$C$469,CustomerDetails!$P262,COLUMNS($Q276:R276)),"")</f>
        <v/>
      </c>
      <c r="S276" s="78" t="str">
        <f>IFERROR(INDEX(CustomerDetails!$A$1:$C$469,CustomerDetails!$P262,COLUMNS($Q276:S276)),"")</f>
        <v/>
      </c>
    </row>
    <row r="277" spans="1:19" x14ac:dyDescent="0.3">
      <c r="A277" s="79"/>
      <c r="B277" s="79"/>
      <c r="Q277" s="78" t="str">
        <f>IFERROR(INDEX(CustomerDetails!$A$1:$C$469,CustomerDetails!$P263,COLUMNS($Q277:Q277)),"")</f>
        <v/>
      </c>
      <c r="R277" s="78" t="str">
        <f>IFERROR(INDEX(CustomerDetails!$A$1:$C$469,CustomerDetails!$P263,COLUMNS($Q277:R277)),"")</f>
        <v/>
      </c>
      <c r="S277" s="78" t="str">
        <f>IFERROR(INDEX(CustomerDetails!$A$1:$C$469,CustomerDetails!$P263,COLUMNS($Q277:S277)),"")</f>
        <v/>
      </c>
    </row>
    <row r="278" spans="1:19" x14ac:dyDescent="0.3">
      <c r="A278" s="79"/>
      <c r="B278" s="79"/>
      <c r="Q278" s="78" t="str">
        <f>IFERROR(INDEX(CustomerDetails!$A$1:$C$469,CustomerDetails!$P264,COLUMNS($Q278:Q278)),"")</f>
        <v/>
      </c>
      <c r="R278" s="78" t="str">
        <f>IFERROR(INDEX(CustomerDetails!$A$1:$C$469,CustomerDetails!$P264,COLUMNS($Q278:R278)),"")</f>
        <v/>
      </c>
      <c r="S278" s="78" t="str">
        <f>IFERROR(INDEX(CustomerDetails!$A$1:$C$469,CustomerDetails!$P264,COLUMNS($Q278:S278)),"")</f>
        <v/>
      </c>
    </row>
    <row r="279" spans="1:19" x14ac:dyDescent="0.3">
      <c r="A279" s="79"/>
      <c r="B279" s="79"/>
      <c r="Q279" s="78" t="str">
        <f>IFERROR(INDEX(CustomerDetails!$A$1:$C$469,CustomerDetails!$P265,COLUMNS($Q279:Q279)),"")</f>
        <v/>
      </c>
      <c r="R279" s="78" t="str">
        <f>IFERROR(INDEX(CustomerDetails!$A$1:$C$469,CustomerDetails!$P265,COLUMNS($Q279:R279)),"")</f>
        <v/>
      </c>
      <c r="S279" s="78" t="str">
        <f>IFERROR(INDEX(CustomerDetails!$A$1:$C$469,CustomerDetails!$P265,COLUMNS($Q279:S279)),"")</f>
        <v/>
      </c>
    </row>
    <row r="280" spans="1:19" x14ac:dyDescent="0.3">
      <c r="A280" s="79"/>
      <c r="B280" s="79"/>
      <c r="Q280" s="78" t="str">
        <f>IFERROR(INDEX(CustomerDetails!$A$1:$C$469,CustomerDetails!$P266,COLUMNS($Q280:Q280)),"")</f>
        <v/>
      </c>
      <c r="R280" s="78" t="str">
        <f>IFERROR(INDEX(CustomerDetails!$A$1:$C$469,CustomerDetails!$P266,COLUMNS($Q280:R280)),"")</f>
        <v/>
      </c>
      <c r="S280" s="78" t="str">
        <f>IFERROR(INDEX(CustomerDetails!$A$1:$C$469,CustomerDetails!$P266,COLUMNS($Q280:S280)),"")</f>
        <v/>
      </c>
    </row>
    <row r="281" spans="1:19" x14ac:dyDescent="0.3">
      <c r="A281" s="79"/>
      <c r="B281" s="79"/>
      <c r="Q281" s="78" t="str">
        <f>IFERROR(INDEX(CustomerDetails!$A$1:$C$469,CustomerDetails!$P267,COLUMNS($Q281:Q281)),"")</f>
        <v/>
      </c>
      <c r="R281" s="78" t="str">
        <f>IFERROR(INDEX(CustomerDetails!$A$1:$C$469,CustomerDetails!$P267,COLUMNS($Q281:R281)),"")</f>
        <v/>
      </c>
      <c r="S281" s="78" t="str">
        <f>IFERROR(INDEX(CustomerDetails!$A$1:$C$469,CustomerDetails!$P267,COLUMNS($Q281:S281)),"")</f>
        <v/>
      </c>
    </row>
    <row r="282" spans="1:19" x14ac:dyDescent="0.3">
      <c r="A282" s="79"/>
      <c r="B282" s="79"/>
      <c r="Q282" s="78" t="str">
        <f>IFERROR(INDEX(CustomerDetails!$A$1:$C$469,CustomerDetails!$P268,COLUMNS($Q282:Q282)),"")</f>
        <v/>
      </c>
      <c r="R282" s="78" t="str">
        <f>IFERROR(INDEX(CustomerDetails!$A$1:$C$469,CustomerDetails!$P268,COLUMNS($Q282:R282)),"")</f>
        <v/>
      </c>
      <c r="S282" s="78" t="str">
        <f>IFERROR(INDEX(CustomerDetails!$A$1:$C$469,CustomerDetails!$P268,COLUMNS($Q282:S282)),"")</f>
        <v/>
      </c>
    </row>
    <row r="283" spans="1:19" x14ac:dyDescent="0.3">
      <c r="A283" s="79"/>
      <c r="B283" s="79"/>
      <c r="Q283" s="78" t="str">
        <f>IFERROR(INDEX(CustomerDetails!$A$1:$C$469,CustomerDetails!$P269,COLUMNS($Q283:Q283)),"")</f>
        <v/>
      </c>
      <c r="R283" s="78" t="str">
        <f>IFERROR(INDEX(CustomerDetails!$A$1:$C$469,CustomerDetails!$P269,COLUMNS($Q283:R283)),"")</f>
        <v/>
      </c>
      <c r="S283" s="78" t="str">
        <f>IFERROR(INDEX(CustomerDetails!$A$1:$C$469,CustomerDetails!$P269,COLUMNS($Q283:S283)),"")</f>
        <v/>
      </c>
    </row>
    <row r="284" spans="1:19" x14ac:dyDescent="0.3">
      <c r="A284" s="79"/>
      <c r="B284" s="79"/>
      <c r="Q284" s="78" t="str">
        <f>IFERROR(INDEX(CustomerDetails!$A$1:$C$469,CustomerDetails!$P270,COLUMNS($Q284:Q284)),"")</f>
        <v/>
      </c>
      <c r="R284" s="78" t="str">
        <f>IFERROR(INDEX(CustomerDetails!$A$1:$C$469,CustomerDetails!$P270,COLUMNS($Q284:R284)),"")</f>
        <v/>
      </c>
      <c r="S284" s="78" t="str">
        <f>IFERROR(INDEX(CustomerDetails!$A$1:$C$469,CustomerDetails!$P270,COLUMNS($Q284:S284)),"")</f>
        <v/>
      </c>
    </row>
    <row r="285" spans="1:19" x14ac:dyDescent="0.3">
      <c r="A285" s="79"/>
      <c r="B285" s="79"/>
      <c r="Q285" s="78" t="str">
        <f>IFERROR(INDEX(CustomerDetails!$A$1:$C$469,CustomerDetails!$P271,COLUMNS($Q285:Q285)),"")</f>
        <v/>
      </c>
      <c r="R285" s="78" t="str">
        <f>IFERROR(INDEX(CustomerDetails!$A$1:$C$469,CustomerDetails!$P271,COLUMNS($Q285:R285)),"")</f>
        <v/>
      </c>
      <c r="S285" s="78" t="str">
        <f>IFERROR(INDEX(CustomerDetails!$A$1:$C$469,CustomerDetails!$P271,COLUMNS($Q285:S285)),"")</f>
        <v/>
      </c>
    </row>
    <row r="286" spans="1:19" x14ac:dyDescent="0.3">
      <c r="A286" s="79"/>
      <c r="B286" s="79"/>
      <c r="Q286" s="78" t="str">
        <f>IFERROR(INDEX(CustomerDetails!$A$1:$C$469,CustomerDetails!$P272,COLUMNS($Q286:Q286)),"")</f>
        <v/>
      </c>
      <c r="R286" s="78" t="str">
        <f>IFERROR(INDEX(CustomerDetails!$A$1:$C$469,CustomerDetails!$P272,COLUMNS($Q286:R286)),"")</f>
        <v/>
      </c>
      <c r="S286" s="78" t="str">
        <f>IFERROR(INDEX(CustomerDetails!$A$1:$C$469,CustomerDetails!$P272,COLUMNS($Q286:S286)),"")</f>
        <v/>
      </c>
    </row>
    <row r="287" spans="1:19" x14ac:dyDescent="0.3">
      <c r="A287" s="79"/>
      <c r="B287" s="79"/>
      <c r="Q287" s="78" t="str">
        <f>IFERROR(INDEX(CustomerDetails!$A$1:$C$469,CustomerDetails!$P273,COLUMNS($Q287:Q287)),"")</f>
        <v/>
      </c>
      <c r="R287" s="78" t="str">
        <f>IFERROR(INDEX(CustomerDetails!$A$1:$C$469,CustomerDetails!$P273,COLUMNS($Q287:R287)),"")</f>
        <v/>
      </c>
      <c r="S287" s="78" t="str">
        <f>IFERROR(INDEX(CustomerDetails!$A$1:$C$469,CustomerDetails!$P273,COLUMNS($Q287:S287)),"")</f>
        <v/>
      </c>
    </row>
    <row r="288" spans="1:19" x14ac:dyDescent="0.3">
      <c r="A288" s="79"/>
      <c r="B288" s="79"/>
      <c r="Q288" s="78" t="str">
        <f>IFERROR(INDEX(CustomerDetails!$A$1:$C$469,CustomerDetails!$P274,COLUMNS($Q288:Q288)),"")</f>
        <v/>
      </c>
      <c r="R288" s="78" t="str">
        <f>IFERROR(INDEX(CustomerDetails!$A$1:$C$469,CustomerDetails!$P274,COLUMNS($Q288:R288)),"")</f>
        <v/>
      </c>
      <c r="S288" s="78" t="str">
        <f>IFERROR(INDEX(CustomerDetails!$A$1:$C$469,CustomerDetails!$P274,COLUMNS($Q288:S288)),"")</f>
        <v/>
      </c>
    </row>
    <row r="289" spans="1:19" x14ac:dyDescent="0.3">
      <c r="A289" s="79"/>
      <c r="B289" s="79"/>
      <c r="Q289" s="78" t="str">
        <f>IFERROR(INDEX(CustomerDetails!$A$1:$C$469,CustomerDetails!$P275,COLUMNS($Q289:Q289)),"")</f>
        <v/>
      </c>
      <c r="R289" s="78" t="str">
        <f>IFERROR(INDEX(CustomerDetails!$A$1:$C$469,CustomerDetails!$P275,COLUMNS($Q289:R289)),"")</f>
        <v/>
      </c>
      <c r="S289" s="78" t="str">
        <f>IFERROR(INDEX(CustomerDetails!$A$1:$C$469,CustomerDetails!$P275,COLUMNS($Q289:S289)),"")</f>
        <v/>
      </c>
    </row>
    <row r="290" spans="1:19" x14ac:dyDescent="0.3">
      <c r="A290" s="79"/>
      <c r="B290" s="79"/>
      <c r="Q290" s="78" t="str">
        <f>IFERROR(INDEX(CustomerDetails!$A$1:$C$469,CustomerDetails!$P276,COLUMNS($Q290:Q290)),"")</f>
        <v/>
      </c>
      <c r="R290" s="78" t="str">
        <f>IFERROR(INDEX(CustomerDetails!$A$1:$C$469,CustomerDetails!$P276,COLUMNS($Q290:R290)),"")</f>
        <v/>
      </c>
      <c r="S290" s="78" t="str">
        <f>IFERROR(INDEX(CustomerDetails!$A$1:$C$469,CustomerDetails!$P276,COLUMNS($Q290:S290)),"")</f>
        <v/>
      </c>
    </row>
    <row r="291" spans="1:19" x14ac:dyDescent="0.3">
      <c r="A291" s="79"/>
      <c r="B291" s="79"/>
      <c r="Q291" s="78" t="str">
        <f>IFERROR(INDEX(CustomerDetails!$A$1:$C$469,CustomerDetails!$P277,COLUMNS($Q291:Q291)),"")</f>
        <v/>
      </c>
      <c r="R291" s="78" t="str">
        <f>IFERROR(INDEX(CustomerDetails!$A$1:$C$469,CustomerDetails!$P277,COLUMNS($Q291:R291)),"")</f>
        <v/>
      </c>
      <c r="S291" s="78" t="str">
        <f>IFERROR(INDEX(CustomerDetails!$A$1:$C$469,CustomerDetails!$P277,COLUMNS($Q291:S291)),"")</f>
        <v/>
      </c>
    </row>
    <row r="292" spans="1:19" x14ac:dyDescent="0.3">
      <c r="A292" s="79"/>
      <c r="B292" s="79"/>
      <c r="Q292" s="78" t="str">
        <f>IFERROR(INDEX(CustomerDetails!$A$1:$C$469,CustomerDetails!$P278,COLUMNS($Q292:Q292)),"")</f>
        <v/>
      </c>
      <c r="R292" s="78" t="str">
        <f>IFERROR(INDEX(CustomerDetails!$A$1:$C$469,CustomerDetails!$P278,COLUMNS($Q292:R292)),"")</f>
        <v/>
      </c>
      <c r="S292" s="78" t="str">
        <f>IFERROR(INDEX(CustomerDetails!$A$1:$C$469,CustomerDetails!$P278,COLUMNS($Q292:S292)),"")</f>
        <v/>
      </c>
    </row>
    <row r="293" spans="1:19" x14ac:dyDescent="0.3">
      <c r="A293" s="79"/>
      <c r="B293" s="79"/>
      <c r="Q293" s="78" t="str">
        <f>IFERROR(INDEX(CustomerDetails!$A$1:$C$469,CustomerDetails!$P279,COLUMNS($Q293:Q293)),"")</f>
        <v/>
      </c>
      <c r="R293" s="78" t="str">
        <f>IFERROR(INDEX(CustomerDetails!$A$1:$C$469,CustomerDetails!$P279,COLUMNS($Q293:R293)),"")</f>
        <v/>
      </c>
      <c r="S293" s="78" t="str">
        <f>IFERROR(INDEX(CustomerDetails!$A$1:$C$469,CustomerDetails!$P279,COLUMNS($Q293:S293)),"")</f>
        <v/>
      </c>
    </row>
    <row r="294" spans="1:19" x14ac:dyDescent="0.3">
      <c r="A294" s="79"/>
      <c r="B294" s="79"/>
      <c r="Q294" s="78" t="str">
        <f>IFERROR(INDEX(CustomerDetails!$A$1:$C$469,CustomerDetails!$P280,COLUMNS($Q294:Q294)),"")</f>
        <v/>
      </c>
      <c r="R294" s="78" t="str">
        <f>IFERROR(INDEX(CustomerDetails!$A$1:$C$469,CustomerDetails!$P280,COLUMNS($Q294:R294)),"")</f>
        <v/>
      </c>
      <c r="S294" s="78" t="str">
        <f>IFERROR(INDEX(CustomerDetails!$A$1:$C$469,CustomerDetails!$P280,COLUMNS($Q294:S294)),"")</f>
        <v/>
      </c>
    </row>
    <row r="295" spans="1:19" x14ac:dyDescent="0.3">
      <c r="A295" s="79"/>
      <c r="B295" s="79"/>
      <c r="Q295" s="78" t="str">
        <f>IFERROR(INDEX(CustomerDetails!$A$1:$C$469,CustomerDetails!$P281,COLUMNS($Q295:Q295)),"")</f>
        <v/>
      </c>
      <c r="R295" s="78" t="str">
        <f>IFERROR(INDEX(CustomerDetails!$A$1:$C$469,CustomerDetails!$P281,COLUMNS($Q295:R295)),"")</f>
        <v/>
      </c>
      <c r="S295" s="78" t="str">
        <f>IFERROR(INDEX(CustomerDetails!$A$1:$C$469,CustomerDetails!$P281,COLUMNS($Q295:S295)),"")</f>
        <v/>
      </c>
    </row>
    <row r="296" spans="1:19" x14ac:dyDescent="0.3">
      <c r="A296" s="79"/>
      <c r="B296" s="79"/>
      <c r="Q296" s="78" t="str">
        <f>IFERROR(INDEX(CustomerDetails!$A$1:$C$469,CustomerDetails!$P282,COLUMNS($Q296:Q296)),"")</f>
        <v/>
      </c>
      <c r="R296" s="78" t="str">
        <f>IFERROR(INDEX(CustomerDetails!$A$1:$C$469,CustomerDetails!$P282,COLUMNS($Q296:R296)),"")</f>
        <v/>
      </c>
      <c r="S296" s="78" t="str">
        <f>IFERROR(INDEX(CustomerDetails!$A$1:$C$469,CustomerDetails!$P282,COLUMNS($Q296:S296)),"")</f>
        <v/>
      </c>
    </row>
    <row r="297" spans="1:19" x14ac:dyDescent="0.3">
      <c r="A297" s="79"/>
      <c r="B297" s="79"/>
      <c r="Q297" s="78" t="str">
        <f>IFERROR(INDEX(CustomerDetails!$A$1:$C$469,CustomerDetails!$P283,COLUMNS($Q297:Q297)),"")</f>
        <v/>
      </c>
      <c r="R297" s="78" t="str">
        <f>IFERROR(INDEX(CustomerDetails!$A$1:$C$469,CustomerDetails!$P283,COLUMNS($Q297:R297)),"")</f>
        <v/>
      </c>
      <c r="S297" s="78" t="str">
        <f>IFERROR(INDEX(CustomerDetails!$A$1:$C$469,CustomerDetails!$P283,COLUMNS($Q297:S297)),"")</f>
        <v/>
      </c>
    </row>
    <row r="298" spans="1:19" x14ac:dyDescent="0.3">
      <c r="A298" s="79"/>
      <c r="B298" s="79"/>
      <c r="Q298" s="78" t="str">
        <f>IFERROR(INDEX(CustomerDetails!$A$1:$C$469,CustomerDetails!$P284,COLUMNS($Q298:Q298)),"")</f>
        <v/>
      </c>
      <c r="R298" s="78" t="str">
        <f>IFERROR(INDEX(CustomerDetails!$A$1:$C$469,CustomerDetails!$P284,COLUMNS($Q298:R298)),"")</f>
        <v/>
      </c>
      <c r="S298" s="78" t="str">
        <f>IFERROR(INDEX(CustomerDetails!$A$1:$C$469,CustomerDetails!$P284,COLUMNS($Q298:S298)),"")</f>
        <v/>
      </c>
    </row>
    <row r="299" spans="1:19" x14ac:dyDescent="0.3">
      <c r="A299" s="79"/>
      <c r="B299" s="79"/>
      <c r="Q299" s="78" t="str">
        <f>IFERROR(INDEX(CustomerDetails!$A$1:$C$469,CustomerDetails!$P285,COLUMNS($Q299:Q299)),"")</f>
        <v/>
      </c>
      <c r="R299" s="78" t="str">
        <f>IFERROR(INDEX(CustomerDetails!$A$1:$C$469,CustomerDetails!$P285,COLUMNS($Q299:R299)),"")</f>
        <v/>
      </c>
      <c r="S299" s="78" t="str">
        <f>IFERROR(INDEX(CustomerDetails!$A$1:$C$469,CustomerDetails!$P285,COLUMNS($Q299:S299)),"")</f>
        <v/>
      </c>
    </row>
    <row r="300" spans="1:19" x14ac:dyDescent="0.3">
      <c r="A300" s="79"/>
      <c r="B300" s="79"/>
      <c r="Q300" s="78" t="str">
        <f>IFERROR(INDEX(CustomerDetails!$A$1:$C$469,CustomerDetails!$P286,COLUMNS($Q300:Q300)),"")</f>
        <v/>
      </c>
      <c r="R300" s="78" t="str">
        <f>IFERROR(INDEX(CustomerDetails!$A$1:$C$469,CustomerDetails!$P286,COLUMNS($Q300:R300)),"")</f>
        <v/>
      </c>
      <c r="S300" s="78" t="str">
        <f>IFERROR(INDEX(CustomerDetails!$A$1:$C$469,CustomerDetails!$P286,COLUMNS($Q300:S300)),"")</f>
        <v/>
      </c>
    </row>
    <row r="301" spans="1:19" x14ac:dyDescent="0.3">
      <c r="A301" s="79"/>
      <c r="B301" s="79"/>
      <c r="Q301" s="78" t="str">
        <f>IFERROR(INDEX(CustomerDetails!$A$1:$C$469,CustomerDetails!$P287,COLUMNS($Q301:Q301)),"")</f>
        <v/>
      </c>
      <c r="R301" s="78" t="str">
        <f>IFERROR(INDEX(CustomerDetails!$A$1:$C$469,CustomerDetails!$P287,COLUMNS($Q301:R301)),"")</f>
        <v/>
      </c>
      <c r="S301" s="78" t="str">
        <f>IFERROR(INDEX(CustomerDetails!$A$1:$C$469,CustomerDetails!$P287,COLUMNS($Q301:S301)),"")</f>
        <v/>
      </c>
    </row>
    <row r="302" spans="1:19" x14ac:dyDescent="0.3">
      <c r="A302" s="79"/>
      <c r="B302" s="79"/>
      <c r="Q302" s="78" t="str">
        <f>IFERROR(INDEX(CustomerDetails!$A$1:$C$469,CustomerDetails!$P288,COLUMNS($Q302:Q302)),"")</f>
        <v/>
      </c>
      <c r="R302" s="78" t="str">
        <f>IFERROR(INDEX(CustomerDetails!$A$1:$C$469,CustomerDetails!$P288,COLUMNS($Q302:R302)),"")</f>
        <v/>
      </c>
      <c r="S302" s="78" t="str">
        <f>IFERROR(INDEX(CustomerDetails!$A$1:$C$469,CustomerDetails!$P288,COLUMNS($Q302:S302)),"")</f>
        <v/>
      </c>
    </row>
    <row r="303" spans="1:19" x14ac:dyDescent="0.3">
      <c r="A303" s="79"/>
      <c r="B303" s="79"/>
      <c r="Q303" s="78" t="str">
        <f>IFERROR(INDEX(CustomerDetails!$A$1:$C$469,CustomerDetails!$P289,COLUMNS($Q303:Q303)),"")</f>
        <v/>
      </c>
      <c r="R303" s="78" t="str">
        <f>IFERROR(INDEX(CustomerDetails!$A$1:$C$469,CustomerDetails!$P289,COLUMNS($Q303:R303)),"")</f>
        <v/>
      </c>
      <c r="S303" s="78" t="str">
        <f>IFERROR(INDEX(CustomerDetails!$A$1:$C$469,CustomerDetails!$P289,COLUMNS($Q303:S303)),"")</f>
        <v/>
      </c>
    </row>
    <row r="304" spans="1:19" x14ac:dyDescent="0.3">
      <c r="A304" s="79"/>
      <c r="B304" s="79"/>
      <c r="Q304" s="78" t="str">
        <f>IFERROR(INDEX(CustomerDetails!$A$1:$C$469,CustomerDetails!$P290,COLUMNS($Q304:Q304)),"")</f>
        <v/>
      </c>
      <c r="R304" s="78" t="str">
        <f>IFERROR(INDEX(CustomerDetails!$A$1:$C$469,CustomerDetails!$P290,COLUMNS($Q304:R304)),"")</f>
        <v/>
      </c>
      <c r="S304" s="78" t="str">
        <f>IFERROR(INDEX(CustomerDetails!$A$1:$C$469,CustomerDetails!$P290,COLUMNS($Q304:S304)),"")</f>
        <v/>
      </c>
    </row>
    <row r="305" spans="1:19" x14ac:dyDescent="0.3">
      <c r="A305" s="79"/>
      <c r="B305" s="79"/>
      <c r="Q305" s="78" t="str">
        <f>IFERROR(INDEX(CustomerDetails!$A$1:$C$469,CustomerDetails!$P291,COLUMNS($Q305:Q305)),"")</f>
        <v/>
      </c>
      <c r="R305" s="78" t="str">
        <f>IFERROR(INDEX(CustomerDetails!$A$1:$C$469,CustomerDetails!$P291,COLUMNS($Q305:R305)),"")</f>
        <v/>
      </c>
      <c r="S305" s="78" t="str">
        <f>IFERROR(INDEX(CustomerDetails!$A$1:$C$469,CustomerDetails!$P291,COLUMNS($Q305:S305)),"")</f>
        <v/>
      </c>
    </row>
    <row r="306" spans="1:19" x14ac:dyDescent="0.3">
      <c r="A306" s="79"/>
      <c r="B306" s="79"/>
      <c r="Q306" s="78" t="str">
        <f>IFERROR(INDEX(CustomerDetails!$A$1:$C$469,CustomerDetails!$P292,COLUMNS($Q306:Q306)),"")</f>
        <v/>
      </c>
      <c r="R306" s="78" t="str">
        <f>IFERROR(INDEX(CustomerDetails!$A$1:$C$469,CustomerDetails!$P292,COLUMNS($Q306:R306)),"")</f>
        <v/>
      </c>
      <c r="S306" s="78" t="str">
        <f>IFERROR(INDEX(CustomerDetails!$A$1:$C$469,CustomerDetails!$P292,COLUMNS($Q306:S306)),"")</f>
        <v/>
      </c>
    </row>
    <row r="307" spans="1:19" x14ac:dyDescent="0.3">
      <c r="A307" s="79"/>
      <c r="B307" s="79"/>
      <c r="Q307" s="78" t="str">
        <f>IFERROR(INDEX(CustomerDetails!$A$1:$C$469,CustomerDetails!$P293,COLUMNS($Q307:Q307)),"")</f>
        <v/>
      </c>
      <c r="R307" s="78" t="str">
        <f>IFERROR(INDEX(CustomerDetails!$A$1:$C$469,CustomerDetails!$P293,COLUMNS($Q307:R307)),"")</f>
        <v/>
      </c>
      <c r="S307" s="78" t="str">
        <f>IFERROR(INDEX(CustomerDetails!$A$1:$C$469,CustomerDetails!$P293,COLUMNS($Q307:S307)),"")</f>
        <v/>
      </c>
    </row>
    <row r="308" spans="1:19" x14ac:dyDescent="0.3">
      <c r="A308" s="79"/>
      <c r="B308" s="79"/>
      <c r="Q308" s="78" t="str">
        <f>IFERROR(INDEX(CustomerDetails!$A$1:$C$469,CustomerDetails!$P294,COLUMNS($Q308:Q308)),"")</f>
        <v/>
      </c>
      <c r="R308" s="78" t="str">
        <f>IFERROR(INDEX(CustomerDetails!$A$1:$C$469,CustomerDetails!$P294,COLUMNS($Q308:R308)),"")</f>
        <v/>
      </c>
      <c r="S308" s="78" t="str">
        <f>IFERROR(INDEX(CustomerDetails!$A$1:$C$469,CustomerDetails!$P294,COLUMNS($Q308:S308)),"")</f>
        <v/>
      </c>
    </row>
    <row r="309" spans="1:19" x14ac:dyDescent="0.3">
      <c r="A309" s="79"/>
      <c r="B309" s="79"/>
      <c r="Q309" s="78" t="str">
        <f>IFERROR(INDEX(CustomerDetails!$A$1:$C$469,CustomerDetails!$P295,COLUMNS($Q309:Q309)),"")</f>
        <v/>
      </c>
      <c r="R309" s="78" t="str">
        <f>IFERROR(INDEX(CustomerDetails!$A$1:$C$469,CustomerDetails!$P295,COLUMNS($Q309:R309)),"")</f>
        <v/>
      </c>
      <c r="S309" s="78" t="str">
        <f>IFERROR(INDEX(CustomerDetails!$A$1:$C$469,CustomerDetails!$P295,COLUMNS($Q309:S309)),"")</f>
        <v/>
      </c>
    </row>
    <row r="310" spans="1:19" x14ac:dyDescent="0.3">
      <c r="A310" s="79"/>
      <c r="B310" s="79"/>
      <c r="Q310" s="78" t="str">
        <f>IFERROR(INDEX(CustomerDetails!$A$1:$C$469,CustomerDetails!$P296,COLUMNS($Q310:Q310)),"")</f>
        <v/>
      </c>
      <c r="R310" s="78" t="str">
        <f>IFERROR(INDEX(CustomerDetails!$A$1:$C$469,CustomerDetails!$P296,COLUMNS($Q310:R310)),"")</f>
        <v/>
      </c>
      <c r="S310" s="78" t="str">
        <f>IFERROR(INDEX(CustomerDetails!$A$1:$C$469,CustomerDetails!$P296,COLUMNS($Q310:S310)),"")</f>
        <v/>
      </c>
    </row>
    <row r="311" spans="1:19" x14ac:dyDescent="0.3">
      <c r="A311" s="79"/>
      <c r="B311" s="79"/>
      <c r="Q311" s="78" t="str">
        <f>IFERROR(INDEX(CustomerDetails!$A$1:$C$469,CustomerDetails!$P297,COLUMNS($Q311:Q311)),"")</f>
        <v/>
      </c>
      <c r="R311" s="78" t="str">
        <f>IFERROR(INDEX(CustomerDetails!$A$1:$C$469,CustomerDetails!$P297,COLUMNS($Q311:R311)),"")</f>
        <v/>
      </c>
      <c r="S311" s="78" t="str">
        <f>IFERROR(INDEX(CustomerDetails!$A$1:$C$469,CustomerDetails!$P297,COLUMNS($Q311:S311)),"")</f>
        <v/>
      </c>
    </row>
    <row r="312" spans="1:19" x14ac:dyDescent="0.3">
      <c r="A312" s="79"/>
      <c r="B312" s="79"/>
      <c r="Q312" s="78" t="str">
        <f>IFERROR(INDEX(CustomerDetails!$A$1:$C$469,CustomerDetails!$P298,COLUMNS($Q312:Q312)),"")</f>
        <v/>
      </c>
      <c r="R312" s="78" t="str">
        <f>IFERROR(INDEX(CustomerDetails!$A$1:$C$469,CustomerDetails!$P298,COLUMNS($Q312:R312)),"")</f>
        <v/>
      </c>
      <c r="S312" s="78" t="str">
        <f>IFERROR(INDEX(CustomerDetails!$A$1:$C$469,CustomerDetails!$P298,COLUMNS($Q312:S312)),"")</f>
        <v/>
      </c>
    </row>
    <row r="313" spans="1:19" x14ac:dyDescent="0.3">
      <c r="A313" s="79"/>
      <c r="B313" s="79"/>
      <c r="Q313" s="78" t="str">
        <f>IFERROR(INDEX(CustomerDetails!$A$1:$C$469,CustomerDetails!$P299,COLUMNS($Q313:Q313)),"")</f>
        <v/>
      </c>
      <c r="R313" s="78" t="str">
        <f>IFERROR(INDEX(CustomerDetails!$A$1:$C$469,CustomerDetails!$P299,COLUMNS($Q313:R313)),"")</f>
        <v/>
      </c>
      <c r="S313" s="78" t="str">
        <f>IFERROR(INDEX(CustomerDetails!$A$1:$C$469,CustomerDetails!$P299,COLUMNS($Q313:S313)),"")</f>
        <v/>
      </c>
    </row>
    <row r="314" spans="1:19" x14ac:dyDescent="0.3">
      <c r="A314" s="79"/>
      <c r="B314" s="79"/>
      <c r="Q314" s="78" t="str">
        <f>IFERROR(INDEX(CustomerDetails!$A$1:$C$469,CustomerDetails!$P300,COLUMNS($Q314:Q314)),"")</f>
        <v/>
      </c>
      <c r="R314" s="78" t="str">
        <f>IFERROR(INDEX(CustomerDetails!$A$1:$C$469,CustomerDetails!$P300,COLUMNS($Q314:R314)),"")</f>
        <v/>
      </c>
      <c r="S314" s="78" t="str">
        <f>IFERROR(INDEX(CustomerDetails!$A$1:$C$469,CustomerDetails!$P300,COLUMNS($Q314:S314)),"")</f>
        <v/>
      </c>
    </row>
    <row r="315" spans="1:19" x14ac:dyDescent="0.3">
      <c r="A315" s="79"/>
      <c r="B315" s="79"/>
      <c r="Q315" s="78" t="str">
        <f>IFERROR(INDEX(CustomerDetails!$A$1:$C$469,CustomerDetails!$P301,COLUMNS($Q315:Q315)),"")</f>
        <v/>
      </c>
      <c r="R315" s="78" t="str">
        <f>IFERROR(INDEX(CustomerDetails!$A$1:$C$469,CustomerDetails!$P301,COLUMNS($Q315:R315)),"")</f>
        <v/>
      </c>
      <c r="S315" s="78" t="str">
        <f>IFERROR(INDEX(CustomerDetails!$A$1:$C$469,CustomerDetails!$P301,COLUMNS($Q315:S315)),"")</f>
        <v/>
      </c>
    </row>
    <row r="316" spans="1:19" x14ac:dyDescent="0.3">
      <c r="A316" s="79"/>
      <c r="B316" s="79"/>
      <c r="Q316" s="78" t="str">
        <f>IFERROR(INDEX(CustomerDetails!$A$1:$C$469,CustomerDetails!$P302,COLUMNS($Q316:Q316)),"")</f>
        <v/>
      </c>
      <c r="R316" s="78" t="str">
        <f>IFERROR(INDEX(CustomerDetails!$A$1:$C$469,CustomerDetails!$P302,COLUMNS($Q316:R316)),"")</f>
        <v/>
      </c>
      <c r="S316" s="78" t="str">
        <f>IFERROR(INDEX(CustomerDetails!$A$1:$C$469,CustomerDetails!$P302,COLUMNS($Q316:S316)),"")</f>
        <v/>
      </c>
    </row>
    <row r="317" spans="1:19" x14ac:dyDescent="0.3">
      <c r="A317" s="79"/>
      <c r="B317" s="79"/>
      <c r="Q317" s="78" t="str">
        <f>IFERROR(INDEX(CustomerDetails!$A$1:$C$469,CustomerDetails!$P303,COLUMNS($Q317:Q317)),"")</f>
        <v/>
      </c>
      <c r="R317" s="78" t="str">
        <f>IFERROR(INDEX(CustomerDetails!$A$1:$C$469,CustomerDetails!$P303,COLUMNS($Q317:R317)),"")</f>
        <v/>
      </c>
      <c r="S317" s="78" t="str">
        <f>IFERROR(INDEX(CustomerDetails!$A$1:$C$469,CustomerDetails!$P303,COLUMNS($Q317:S317)),"")</f>
        <v/>
      </c>
    </row>
    <row r="318" spans="1:19" x14ac:dyDescent="0.3">
      <c r="A318" s="79"/>
      <c r="B318" s="79"/>
      <c r="Q318" s="78" t="str">
        <f>IFERROR(INDEX(CustomerDetails!$A$1:$C$469,CustomerDetails!$P304,COLUMNS($Q318:Q318)),"")</f>
        <v/>
      </c>
      <c r="R318" s="78" t="str">
        <f>IFERROR(INDEX(CustomerDetails!$A$1:$C$469,CustomerDetails!$P304,COLUMNS($Q318:R318)),"")</f>
        <v/>
      </c>
      <c r="S318" s="78" t="str">
        <f>IFERROR(INDEX(CustomerDetails!$A$1:$C$469,CustomerDetails!$P304,COLUMNS($Q318:S318)),"")</f>
        <v/>
      </c>
    </row>
    <row r="319" spans="1:19" x14ac:dyDescent="0.3">
      <c r="A319" s="79"/>
      <c r="B319" s="79"/>
      <c r="Q319" s="78" t="str">
        <f>IFERROR(INDEX(CustomerDetails!$A$1:$C$469,CustomerDetails!$P305,COLUMNS($Q319:Q319)),"")</f>
        <v/>
      </c>
      <c r="R319" s="78" t="str">
        <f>IFERROR(INDEX(CustomerDetails!$A$1:$C$469,CustomerDetails!$P305,COLUMNS($Q319:R319)),"")</f>
        <v/>
      </c>
      <c r="S319" s="78" t="str">
        <f>IFERROR(INDEX(CustomerDetails!$A$1:$C$469,CustomerDetails!$P305,COLUMNS($Q319:S319)),"")</f>
        <v/>
      </c>
    </row>
    <row r="320" spans="1:19" x14ac:dyDescent="0.3">
      <c r="A320" s="79"/>
      <c r="B320" s="79"/>
      <c r="Q320" s="78" t="str">
        <f>IFERROR(INDEX(CustomerDetails!$A$1:$C$469,CustomerDetails!$P306,COLUMNS($Q320:Q320)),"")</f>
        <v/>
      </c>
      <c r="R320" s="78" t="str">
        <f>IFERROR(INDEX(CustomerDetails!$A$1:$C$469,CustomerDetails!$P306,COLUMNS($Q320:R320)),"")</f>
        <v/>
      </c>
      <c r="S320" s="78" t="str">
        <f>IFERROR(INDEX(CustomerDetails!$A$1:$C$469,CustomerDetails!$P306,COLUMNS($Q320:S320)),"")</f>
        <v/>
      </c>
    </row>
    <row r="321" spans="1:19" x14ac:dyDescent="0.3">
      <c r="A321" s="79"/>
      <c r="B321" s="79"/>
      <c r="Q321" s="78" t="str">
        <f>IFERROR(INDEX(CustomerDetails!$A$1:$C$469,CustomerDetails!$P307,COLUMNS($Q321:Q321)),"")</f>
        <v/>
      </c>
      <c r="R321" s="78" t="str">
        <f>IFERROR(INDEX(CustomerDetails!$A$1:$C$469,CustomerDetails!$P307,COLUMNS($Q321:R321)),"")</f>
        <v/>
      </c>
      <c r="S321" s="78" t="str">
        <f>IFERROR(INDEX(CustomerDetails!$A$1:$C$469,CustomerDetails!$P307,COLUMNS($Q321:S321)),"")</f>
        <v/>
      </c>
    </row>
    <row r="322" spans="1:19" x14ac:dyDescent="0.3">
      <c r="A322" s="79"/>
      <c r="B322" s="79"/>
      <c r="Q322" s="78" t="str">
        <f>IFERROR(INDEX(CustomerDetails!$A$1:$C$469,CustomerDetails!$P308,COLUMNS($Q322:Q322)),"")</f>
        <v/>
      </c>
      <c r="R322" s="78" t="str">
        <f>IFERROR(INDEX(CustomerDetails!$A$1:$C$469,CustomerDetails!$P308,COLUMNS($Q322:R322)),"")</f>
        <v/>
      </c>
      <c r="S322" s="78" t="str">
        <f>IFERROR(INDEX(CustomerDetails!$A$1:$C$469,CustomerDetails!$P308,COLUMNS($Q322:S322)),"")</f>
        <v/>
      </c>
    </row>
    <row r="323" spans="1:19" x14ac:dyDescent="0.3">
      <c r="A323" s="79"/>
      <c r="B323" s="79"/>
      <c r="Q323" s="78" t="str">
        <f>IFERROR(INDEX(CustomerDetails!$A$1:$C$469,CustomerDetails!$P309,COLUMNS($Q323:Q323)),"")</f>
        <v/>
      </c>
      <c r="R323" s="78" t="str">
        <f>IFERROR(INDEX(CustomerDetails!$A$1:$C$469,CustomerDetails!$P309,COLUMNS($Q323:R323)),"")</f>
        <v/>
      </c>
      <c r="S323" s="78" t="str">
        <f>IFERROR(INDEX(CustomerDetails!$A$1:$C$469,CustomerDetails!$P309,COLUMNS($Q323:S323)),"")</f>
        <v/>
      </c>
    </row>
    <row r="324" spans="1:19" x14ac:dyDescent="0.3">
      <c r="A324" s="79"/>
      <c r="B324" s="79"/>
      <c r="Q324" s="78" t="str">
        <f>IFERROR(INDEX(CustomerDetails!$A$1:$C$469,CustomerDetails!$P310,COLUMNS($Q324:Q324)),"")</f>
        <v/>
      </c>
      <c r="R324" s="78" t="str">
        <f>IFERROR(INDEX(CustomerDetails!$A$1:$C$469,CustomerDetails!$P310,COLUMNS($Q324:R324)),"")</f>
        <v/>
      </c>
      <c r="S324" s="78" t="str">
        <f>IFERROR(INDEX(CustomerDetails!$A$1:$C$469,CustomerDetails!$P310,COLUMNS($Q324:S324)),"")</f>
        <v/>
      </c>
    </row>
    <row r="325" spans="1:19" x14ac:dyDescent="0.3">
      <c r="A325" s="79"/>
      <c r="B325" s="79"/>
      <c r="Q325" s="78" t="str">
        <f>IFERROR(INDEX(CustomerDetails!$A$1:$C$469,CustomerDetails!$P311,COLUMNS($Q325:Q325)),"")</f>
        <v/>
      </c>
      <c r="R325" s="78" t="str">
        <f>IFERROR(INDEX(CustomerDetails!$A$1:$C$469,CustomerDetails!$P311,COLUMNS($Q325:R325)),"")</f>
        <v/>
      </c>
      <c r="S325" s="78" t="str">
        <f>IFERROR(INDEX(CustomerDetails!$A$1:$C$469,CustomerDetails!$P311,COLUMNS($Q325:S325)),"")</f>
        <v/>
      </c>
    </row>
    <row r="326" spans="1:19" x14ac:dyDescent="0.3">
      <c r="A326" s="79"/>
      <c r="B326" s="79"/>
      <c r="Q326" s="78" t="str">
        <f>IFERROR(INDEX(CustomerDetails!$A$1:$C$469,CustomerDetails!$P312,COLUMNS($Q326:Q326)),"")</f>
        <v/>
      </c>
      <c r="R326" s="78" t="str">
        <f>IFERROR(INDEX(CustomerDetails!$A$1:$C$469,CustomerDetails!$P312,COLUMNS($Q326:R326)),"")</f>
        <v/>
      </c>
      <c r="S326" s="78" t="str">
        <f>IFERROR(INDEX(CustomerDetails!$A$1:$C$469,CustomerDetails!$P312,COLUMNS($Q326:S326)),"")</f>
        <v/>
      </c>
    </row>
    <row r="327" spans="1:19" x14ac:dyDescent="0.3">
      <c r="A327" s="79"/>
      <c r="B327" s="79"/>
      <c r="Q327" s="78" t="str">
        <f>IFERROR(INDEX(CustomerDetails!$A$1:$C$469,CustomerDetails!$P313,COLUMNS($Q327:Q327)),"")</f>
        <v/>
      </c>
      <c r="R327" s="78" t="str">
        <f>IFERROR(INDEX(CustomerDetails!$A$1:$C$469,CustomerDetails!$P313,COLUMNS($Q327:R327)),"")</f>
        <v/>
      </c>
      <c r="S327" s="78" t="str">
        <f>IFERROR(INDEX(CustomerDetails!$A$1:$C$469,CustomerDetails!$P313,COLUMNS($Q327:S327)),"")</f>
        <v/>
      </c>
    </row>
    <row r="328" spans="1:19" x14ac:dyDescent="0.3">
      <c r="A328" s="79"/>
      <c r="B328" s="79"/>
      <c r="Q328" s="78" t="str">
        <f>IFERROR(INDEX(CustomerDetails!$A$1:$C$469,CustomerDetails!$P314,COLUMNS($Q328:Q328)),"")</f>
        <v/>
      </c>
      <c r="R328" s="78" t="str">
        <f>IFERROR(INDEX(CustomerDetails!$A$1:$C$469,CustomerDetails!$P314,COLUMNS($Q328:R328)),"")</f>
        <v/>
      </c>
      <c r="S328" s="78" t="str">
        <f>IFERROR(INDEX(CustomerDetails!$A$1:$C$469,CustomerDetails!$P314,COLUMNS($Q328:S328)),"")</f>
        <v/>
      </c>
    </row>
    <row r="329" spans="1:19" x14ac:dyDescent="0.3">
      <c r="A329" s="79"/>
      <c r="B329" s="79"/>
      <c r="Q329" s="78" t="str">
        <f>IFERROR(INDEX(CustomerDetails!$A$1:$C$469,CustomerDetails!$P315,COLUMNS($Q329:Q329)),"")</f>
        <v/>
      </c>
      <c r="R329" s="78" t="str">
        <f>IFERROR(INDEX(CustomerDetails!$A$1:$C$469,CustomerDetails!$P315,COLUMNS($Q329:R329)),"")</f>
        <v/>
      </c>
      <c r="S329" s="78" t="str">
        <f>IFERROR(INDEX(CustomerDetails!$A$1:$C$469,CustomerDetails!$P315,COLUMNS($Q329:S329)),"")</f>
        <v/>
      </c>
    </row>
    <row r="330" spans="1:19" x14ac:dyDescent="0.3">
      <c r="A330" s="79"/>
      <c r="B330" s="79"/>
      <c r="Q330" s="78" t="str">
        <f>IFERROR(INDEX(CustomerDetails!$A$1:$C$469,CustomerDetails!$P316,COLUMNS($Q330:Q330)),"")</f>
        <v/>
      </c>
      <c r="R330" s="78" t="str">
        <f>IFERROR(INDEX(CustomerDetails!$A$1:$C$469,CustomerDetails!$P316,COLUMNS($Q330:R330)),"")</f>
        <v/>
      </c>
      <c r="S330" s="78" t="str">
        <f>IFERROR(INDEX(CustomerDetails!$A$1:$C$469,CustomerDetails!$P316,COLUMNS($Q330:S330)),"")</f>
        <v/>
      </c>
    </row>
    <row r="331" spans="1:19" x14ac:dyDescent="0.3">
      <c r="A331" s="79"/>
      <c r="B331" s="79"/>
      <c r="Q331" s="78" t="str">
        <f>IFERROR(INDEX(CustomerDetails!$A$1:$C$469,CustomerDetails!$P317,COLUMNS($Q331:Q331)),"")</f>
        <v/>
      </c>
      <c r="R331" s="78" t="str">
        <f>IFERROR(INDEX(CustomerDetails!$A$1:$C$469,CustomerDetails!$P317,COLUMNS($Q331:R331)),"")</f>
        <v/>
      </c>
      <c r="S331" s="78" t="str">
        <f>IFERROR(INDEX(CustomerDetails!$A$1:$C$469,CustomerDetails!$P317,COLUMNS($Q331:S331)),"")</f>
        <v/>
      </c>
    </row>
    <row r="332" spans="1:19" x14ac:dyDescent="0.3">
      <c r="A332" s="79"/>
      <c r="B332" s="79"/>
      <c r="Q332" s="78" t="str">
        <f>IFERROR(INDEX(CustomerDetails!$A$1:$C$469,CustomerDetails!$P318,COLUMNS($Q332:Q332)),"")</f>
        <v/>
      </c>
      <c r="R332" s="78" t="str">
        <f>IFERROR(INDEX(CustomerDetails!$A$1:$C$469,CustomerDetails!$P318,COLUMNS($Q332:R332)),"")</f>
        <v/>
      </c>
      <c r="S332" s="78" t="str">
        <f>IFERROR(INDEX(CustomerDetails!$A$1:$C$469,CustomerDetails!$P318,COLUMNS($Q332:S332)),"")</f>
        <v/>
      </c>
    </row>
    <row r="333" spans="1:19" x14ac:dyDescent="0.3">
      <c r="A333" s="79"/>
      <c r="B333" s="79"/>
      <c r="Q333" s="78" t="str">
        <f>IFERROR(INDEX(CustomerDetails!$A$1:$C$469,CustomerDetails!$P319,COLUMNS($Q333:Q333)),"")</f>
        <v/>
      </c>
      <c r="R333" s="78" t="str">
        <f>IFERROR(INDEX(CustomerDetails!$A$1:$C$469,CustomerDetails!$P319,COLUMNS($Q333:R333)),"")</f>
        <v/>
      </c>
      <c r="S333" s="78" t="str">
        <f>IFERROR(INDEX(CustomerDetails!$A$1:$C$469,CustomerDetails!$P319,COLUMNS($Q333:S333)),"")</f>
        <v/>
      </c>
    </row>
    <row r="334" spans="1:19" x14ac:dyDescent="0.3">
      <c r="A334" s="79"/>
      <c r="B334" s="79"/>
      <c r="Q334" s="78" t="str">
        <f>IFERROR(INDEX(CustomerDetails!$A$1:$C$469,CustomerDetails!$P320,COLUMNS($Q334:Q334)),"")</f>
        <v/>
      </c>
      <c r="R334" s="78" t="str">
        <f>IFERROR(INDEX(CustomerDetails!$A$1:$C$469,CustomerDetails!$P320,COLUMNS($Q334:R334)),"")</f>
        <v/>
      </c>
      <c r="S334" s="78" t="str">
        <f>IFERROR(INDEX(CustomerDetails!$A$1:$C$469,CustomerDetails!$P320,COLUMNS($Q334:S334)),"")</f>
        <v/>
      </c>
    </row>
    <row r="335" spans="1:19" x14ac:dyDescent="0.3">
      <c r="A335" s="79"/>
      <c r="B335" s="79"/>
      <c r="Q335" s="78" t="str">
        <f>IFERROR(INDEX(CustomerDetails!$A$1:$C$469,CustomerDetails!$P321,COLUMNS($Q335:Q335)),"")</f>
        <v/>
      </c>
      <c r="R335" s="78" t="str">
        <f>IFERROR(INDEX(CustomerDetails!$A$1:$C$469,CustomerDetails!$P321,COLUMNS($Q335:R335)),"")</f>
        <v/>
      </c>
      <c r="S335" s="78" t="str">
        <f>IFERROR(INDEX(CustomerDetails!$A$1:$C$469,CustomerDetails!$P321,COLUMNS($Q335:S335)),"")</f>
        <v/>
      </c>
    </row>
    <row r="336" spans="1:19" x14ac:dyDescent="0.3">
      <c r="A336" s="79"/>
      <c r="B336" s="79"/>
      <c r="Q336" s="78" t="str">
        <f>IFERROR(INDEX(CustomerDetails!$A$1:$C$469,CustomerDetails!$P322,COLUMNS($Q336:Q336)),"")</f>
        <v/>
      </c>
      <c r="R336" s="78" t="str">
        <f>IFERROR(INDEX(CustomerDetails!$A$1:$C$469,CustomerDetails!$P322,COLUMNS($Q336:R336)),"")</f>
        <v/>
      </c>
      <c r="S336" s="78" t="str">
        <f>IFERROR(INDEX(CustomerDetails!$A$1:$C$469,CustomerDetails!$P322,COLUMNS($Q336:S336)),"")</f>
        <v/>
      </c>
    </row>
    <row r="337" spans="1:19" x14ac:dyDescent="0.3">
      <c r="A337" s="79"/>
      <c r="B337" s="79"/>
      <c r="Q337" s="78" t="str">
        <f>IFERROR(INDEX(CustomerDetails!$A$1:$C$469,CustomerDetails!$P323,COLUMNS($Q337:Q337)),"")</f>
        <v/>
      </c>
      <c r="R337" s="78" t="str">
        <f>IFERROR(INDEX(CustomerDetails!$A$1:$C$469,CustomerDetails!$P323,COLUMNS($Q337:R337)),"")</f>
        <v/>
      </c>
      <c r="S337" s="78" t="str">
        <f>IFERROR(INDEX(CustomerDetails!$A$1:$C$469,CustomerDetails!$P323,COLUMNS($Q337:S337)),"")</f>
        <v/>
      </c>
    </row>
    <row r="338" spans="1:19" x14ac:dyDescent="0.3">
      <c r="A338" s="79"/>
      <c r="B338" s="79"/>
      <c r="Q338" s="78" t="str">
        <f>IFERROR(INDEX(CustomerDetails!$A$1:$C$469,CustomerDetails!$P324,COLUMNS($Q338:Q338)),"")</f>
        <v/>
      </c>
      <c r="R338" s="78" t="str">
        <f>IFERROR(INDEX(CustomerDetails!$A$1:$C$469,CustomerDetails!$P324,COLUMNS($Q338:R338)),"")</f>
        <v/>
      </c>
      <c r="S338" s="78" t="str">
        <f>IFERROR(INDEX(CustomerDetails!$A$1:$C$469,CustomerDetails!$P324,COLUMNS($Q338:S338)),"")</f>
        <v/>
      </c>
    </row>
    <row r="339" spans="1:19" x14ac:dyDescent="0.3">
      <c r="A339" s="79"/>
      <c r="B339" s="79"/>
      <c r="Q339" s="78" t="str">
        <f>IFERROR(INDEX(CustomerDetails!$A$1:$C$469,CustomerDetails!$P325,COLUMNS($Q339:Q339)),"")</f>
        <v/>
      </c>
      <c r="R339" s="78" t="str">
        <f>IFERROR(INDEX(CustomerDetails!$A$1:$C$469,CustomerDetails!$P325,COLUMNS($Q339:R339)),"")</f>
        <v/>
      </c>
      <c r="S339" s="78" t="str">
        <f>IFERROR(INDEX(CustomerDetails!$A$1:$C$469,CustomerDetails!$P325,COLUMNS($Q339:S339)),"")</f>
        <v/>
      </c>
    </row>
    <row r="340" spans="1:19" x14ac:dyDescent="0.3">
      <c r="A340" s="79"/>
      <c r="B340" s="79"/>
      <c r="Q340" s="78" t="str">
        <f>IFERROR(INDEX(CustomerDetails!$A$1:$C$469,CustomerDetails!$P326,COLUMNS($Q340:Q340)),"")</f>
        <v/>
      </c>
      <c r="R340" s="78" t="str">
        <f>IFERROR(INDEX(CustomerDetails!$A$1:$C$469,CustomerDetails!$P326,COLUMNS($Q340:R340)),"")</f>
        <v/>
      </c>
      <c r="S340" s="78" t="str">
        <f>IFERROR(INDEX(CustomerDetails!$A$1:$C$469,CustomerDetails!$P326,COLUMNS($Q340:S340)),"")</f>
        <v/>
      </c>
    </row>
    <row r="341" spans="1:19" x14ac:dyDescent="0.3">
      <c r="A341" s="79"/>
      <c r="B341" s="79"/>
      <c r="Q341" s="78" t="str">
        <f>IFERROR(INDEX(CustomerDetails!$A$1:$C$469,CustomerDetails!$P327,COLUMNS($Q341:Q341)),"")</f>
        <v/>
      </c>
      <c r="R341" s="78" t="str">
        <f>IFERROR(INDEX(CustomerDetails!$A$1:$C$469,CustomerDetails!$P327,COLUMNS($Q341:R341)),"")</f>
        <v/>
      </c>
      <c r="S341" s="78" t="str">
        <f>IFERROR(INDEX(CustomerDetails!$A$1:$C$469,CustomerDetails!$P327,COLUMNS($Q341:S341)),"")</f>
        <v/>
      </c>
    </row>
    <row r="342" spans="1:19" x14ac:dyDescent="0.3">
      <c r="A342" s="79"/>
      <c r="B342" s="79"/>
      <c r="Q342" s="78" t="str">
        <f>IFERROR(INDEX(CustomerDetails!$A$1:$C$469,CustomerDetails!$P328,COLUMNS($Q342:Q342)),"")</f>
        <v/>
      </c>
      <c r="R342" s="78" t="str">
        <f>IFERROR(INDEX(CustomerDetails!$A$1:$C$469,CustomerDetails!$P328,COLUMNS($Q342:R342)),"")</f>
        <v/>
      </c>
      <c r="S342" s="78" t="str">
        <f>IFERROR(INDEX(CustomerDetails!$A$1:$C$469,CustomerDetails!$P328,COLUMNS($Q342:S342)),"")</f>
        <v/>
      </c>
    </row>
    <row r="343" spans="1:19" x14ac:dyDescent="0.3">
      <c r="A343" s="79"/>
      <c r="B343" s="79"/>
      <c r="Q343" s="78" t="str">
        <f>IFERROR(INDEX(CustomerDetails!$A$1:$C$469,CustomerDetails!$P329,COLUMNS($Q343:Q343)),"")</f>
        <v/>
      </c>
      <c r="R343" s="78" t="str">
        <f>IFERROR(INDEX(CustomerDetails!$A$1:$C$469,CustomerDetails!$P329,COLUMNS($Q343:R343)),"")</f>
        <v/>
      </c>
      <c r="S343" s="78" t="str">
        <f>IFERROR(INDEX(CustomerDetails!$A$1:$C$469,CustomerDetails!$P329,COLUMNS($Q343:S343)),"")</f>
        <v/>
      </c>
    </row>
    <row r="344" spans="1:19" x14ac:dyDescent="0.3">
      <c r="A344" s="79"/>
      <c r="B344" s="79"/>
      <c r="Q344" s="78" t="str">
        <f>IFERROR(INDEX(CustomerDetails!$A$1:$C$469,CustomerDetails!$P330,COLUMNS($Q344:Q344)),"")</f>
        <v/>
      </c>
      <c r="R344" s="78" t="str">
        <f>IFERROR(INDEX(CustomerDetails!$A$1:$C$469,CustomerDetails!$P330,COLUMNS($Q344:R344)),"")</f>
        <v/>
      </c>
      <c r="S344" s="78" t="str">
        <f>IFERROR(INDEX(CustomerDetails!$A$1:$C$469,CustomerDetails!$P330,COLUMNS($Q344:S344)),"")</f>
        <v/>
      </c>
    </row>
    <row r="345" spans="1:19" x14ac:dyDescent="0.3">
      <c r="A345" s="79"/>
      <c r="B345" s="79"/>
      <c r="Q345" s="78" t="str">
        <f>IFERROR(INDEX(CustomerDetails!$A$1:$C$469,CustomerDetails!$P331,COLUMNS($Q345:Q345)),"")</f>
        <v/>
      </c>
      <c r="R345" s="78" t="str">
        <f>IFERROR(INDEX(CustomerDetails!$A$1:$C$469,CustomerDetails!$P331,COLUMNS($Q345:R345)),"")</f>
        <v/>
      </c>
      <c r="S345" s="78" t="str">
        <f>IFERROR(INDEX(CustomerDetails!$A$1:$C$469,CustomerDetails!$P331,COLUMNS($Q345:S345)),"")</f>
        <v/>
      </c>
    </row>
    <row r="346" spans="1:19" x14ac:dyDescent="0.3">
      <c r="A346" s="79"/>
      <c r="B346" s="79"/>
      <c r="Q346" s="78" t="str">
        <f>IFERROR(INDEX(CustomerDetails!$A$1:$C$469,CustomerDetails!$P332,COLUMNS($Q346:Q346)),"")</f>
        <v/>
      </c>
      <c r="R346" s="78" t="str">
        <f>IFERROR(INDEX(CustomerDetails!$A$1:$C$469,CustomerDetails!$P332,COLUMNS($Q346:R346)),"")</f>
        <v/>
      </c>
      <c r="S346" s="78" t="str">
        <f>IFERROR(INDEX(CustomerDetails!$A$1:$C$469,CustomerDetails!$P332,COLUMNS($Q346:S346)),"")</f>
        <v/>
      </c>
    </row>
    <row r="347" spans="1:19" x14ac:dyDescent="0.3">
      <c r="A347" s="79"/>
      <c r="B347" s="79"/>
      <c r="Q347" s="78" t="str">
        <f>IFERROR(INDEX(CustomerDetails!$A$1:$C$469,CustomerDetails!$P333,COLUMNS($Q347:Q347)),"")</f>
        <v/>
      </c>
      <c r="R347" s="78" t="str">
        <f>IFERROR(INDEX(CustomerDetails!$A$1:$C$469,CustomerDetails!$P333,COLUMNS($Q347:R347)),"")</f>
        <v/>
      </c>
      <c r="S347" s="78" t="str">
        <f>IFERROR(INDEX(CustomerDetails!$A$1:$C$469,CustomerDetails!$P333,COLUMNS($Q347:S347)),"")</f>
        <v/>
      </c>
    </row>
    <row r="348" spans="1:19" x14ac:dyDescent="0.3">
      <c r="A348" s="79"/>
      <c r="B348" s="79"/>
      <c r="Q348" s="78" t="str">
        <f>IFERROR(INDEX(CustomerDetails!$A$1:$C$469,CustomerDetails!$P334,COLUMNS($Q348:Q348)),"")</f>
        <v/>
      </c>
      <c r="R348" s="78" t="str">
        <f>IFERROR(INDEX(CustomerDetails!$A$1:$C$469,CustomerDetails!$P334,COLUMNS($Q348:R348)),"")</f>
        <v/>
      </c>
      <c r="S348" s="78" t="str">
        <f>IFERROR(INDEX(CustomerDetails!$A$1:$C$469,CustomerDetails!$P334,COLUMNS($Q348:S348)),"")</f>
        <v/>
      </c>
    </row>
    <row r="349" spans="1:19" x14ac:dyDescent="0.3">
      <c r="A349" s="79"/>
      <c r="B349" s="79"/>
      <c r="Q349" s="78" t="str">
        <f>IFERROR(INDEX(CustomerDetails!$A$1:$C$469,CustomerDetails!$P335,COLUMNS($Q349:Q349)),"")</f>
        <v/>
      </c>
      <c r="R349" s="78" t="str">
        <f>IFERROR(INDEX(CustomerDetails!$A$1:$C$469,CustomerDetails!$P335,COLUMNS($Q349:R349)),"")</f>
        <v/>
      </c>
      <c r="S349" s="78" t="str">
        <f>IFERROR(INDEX(CustomerDetails!$A$1:$C$469,CustomerDetails!$P335,COLUMNS($Q349:S349)),"")</f>
        <v/>
      </c>
    </row>
    <row r="350" spans="1:19" x14ac:dyDescent="0.3">
      <c r="A350" s="79"/>
      <c r="B350" s="79"/>
      <c r="Q350" s="78" t="str">
        <f>IFERROR(INDEX(CustomerDetails!$A$1:$C$469,CustomerDetails!$P336,COLUMNS($Q350:Q350)),"")</f>
        <v/>
      </c>
      <c r="R350" s="78" t="str">
        <f>IFERROR(INDEX(CustomerDetails!$A$1:$C$469,CustomerDetails!$P336,COLUMNS($Q350:R350)),"")</f>
        <v/>
      </c>
      <c r="S350" s="78" t="str">
        <f>IFERROR(INDEX(CustomerDetails!$A$1:$C$469,CustomerDetails!$P336,COLUMNS($Q350:S350)),"")</f>
        <v/>
      </c>
    </row>
    <row r="351" spans="1:19" x14ac:dyDescent="0.3">
      <c r="A351" s="79"/>
      <c r="B351" s="79"/>
      <c r="Q351" s="78" t="str">
        <f>IFERROR(INDEX(CustomerDetails!$A$1:$C$469,CustomerDetails!$P337,COLUMNS($Q351:Q351)),"")</f>
        <v/>
      </c>
      <c r="R351" s="78" t="str">
        <f>IFERROR(INDEX(CustomerDetails!$A$1:$C$469,CustomerDetails!$P337,COLUMNS($Q351:R351)),"")</f>
        <v/>
      </c>
      <c r="S351" s="78" t="str">
        <f>IFERROR(INDEX(CustomerDetails!$A$1:$C$469,CustomerDetails!$P337,COLUMNS($Q351:S351)),"")</f>
        <v/>
      </c>
    </row>
    <row r="352" spans="1:19" x14ac:dyDescent="0.3">
      <c r="A352" s="79"/>
      <c r="B352" s="79"/>
      <c r="Q352" s="78" t="str">
        <f>IFERROR(INDEX(CustomerDetails!$A$1:$C$469,CustomerDetails!$P338,COLUMNS($Q352:Q352)),"")</f>
        <v/>
      </c>
      <c r="R352" s="78" t="str">
        <f>IFERROR(INDEX(CustomerDetails!$A$1:$C$469,CustomerDetails!$P338,COLUMNS($Q352:R352)),"")</f>
        <v/>
      </c>
      <c r="S352" s="78" t="str">
        <f>IFERROR(INDEX(CustomerDetails!$A$1:$C$469,CustomerDetails!$P338,COLUMNS($Q352:S352)),"")</f>
        <v/>
      </c>
    </row>
    <row r="353" spans="1:19" x14ac:dyDescent="0.3">
      <c r="A353" s="79"/>
      <c r="B353" s="79"/>
      <c r="Q353" s="78" t="str">
        <f>IFERROR(INDEX(CustomerDetails!$A$1:$C$469,CustomerDetails!$P339,COLUMNS($Q353:Q353)),"")</f>
        <v/>
      </c>
      <c r="R353" s="78" t="str">
        <f>IFERROR(INDEX(CustomerDetails!$A$1:$C$469,CustomerDetails!$P339,COLUMNS($Q353:R353)),"")</f>
        <v/>
      </c>
      <c r="S353" s="78" t="str">
        <f>IFERROR(INDEX(CustomerDetails!$A$1:$C$469,CustomerDetails!$P339,COLUMNS($Q353:S353)),"")</f>
        <v/>
      </c>
    </row>
    <row r="354" spans="1:19" x14ac:dyDescent="0.3">
      <c r="A354" s="79"/>
      <c r="B354" s="79"/>
      <c r="Q354" s="78" t="str">
        <f>IFERROR(INDEX(CustomerDetails!$A$1:$C$469,CustomerDetails!$P340,COLUMNS($Q354:Q354)),"")</f>
        <v/>
      </c>
      <c r="R354" s="78" t="str">
        <f>IFERROR(INDEX(CustomerDetails!$A$1:$C$469,CustomerDetails!$P340,COLUMNS($Q354:R354)),"")</f>
        <v/>
      </c>
      <c r="S354" s="78" t="str">
        <f>IFERROR(INDEX(CustomerDetails!$A$1:$C$469,CustomerDetails!$P340,COLUMNS($Q354:S354)),"")</f>
        <v/>
      </c>
    </row>
    <row r="355" spans="1:19" x14ac:dyDescent="0.3">
      <c r="A355" s="79"/>
      <c r="B355" s="79"/>
      <c r="Q355" s="78" t="str">
        <f>IFERROR(INDEX(CustomerDetails!$A$1:$C$469,CustomerDetails!$P341,COLUMNS($Q355:Q355)),"")</f>
        <v/>
      </c>
      <c r="R355" s="78" t="str">
        <f>IFERROR(INDEX(CustomerDetails!$A$1:$C$469,CustomerDetails!$P341,COLUMNS($Q355:R355)),"")</f>
        <v/>
      </c>
      <c r="S355" s="78" t="str">
        <f>IFERROR(INDEX(CustomerDetails!$A$1:$C$469,CustomerDetails!$P341,COLUMNS($Q355:S355)),"")</f>
        <v/>
      </c>
    </row>
    <row r="356" spans="1:19" x14ac:dyDescent="0.3">
      <c r="A356" s="79"/>
      <c r="B356" s="79"/>
      <c r="Q356" s="78" t="str">
        <f>IFERROR(INDEX(CustomerDetails!$A$1:$C$469,CustomerDetails!$P342,COLUMNS($Q356:Q356)),"")</f>
        <v/>
      </c>
      <c r="R356" s="78" t="str">
        <f>IFERROR(INDEX(CustomerDetails!$A$1:$C$469,CustomerDetails!$P342,COLUMNS($Q356:R356)),"")</f>
        <v/>
      </c>
      <c r="S356" s="78" t="str">
        <f>IFERROR(INDEX(CustomerDetails!$A$1:$C$469,CustomerDetails!$P342,COLUMNS($Q356:S356)),"")</f>
        <v/>
      </c>
    </row>
    <row r="357" spans="1:19" x14ac:dyDescent="0.3">
      <c r="A357" s="79"/>
      <c r="B357" s="79"/>
      <c r="Q357" s="78" t="str">
        <f>IFERROR(INDEX(CustomerDetails!$A$1:$C$469,CustomerDetails!$P343,COLUMNS($Q357:Q357)),"")</f>
        <v/>
      </c>
      <c r="R357" s="78" t="str">
        <f>IFERROR(INDEX(CustomerDetails!$A$1:$C$469,CustomerDetails!$P343,COLUMNS($Q357:R357)),"")</f>
        <v/>
      </c>
      <c r="S357" s="78" t="str">
        <f>IFERROR(INDEX(CustomerDetails!$A$1:$C$469,CustomerDetails!$P343,COLUMNS($Q357:S357)),"")</f>
        <v/>
      </c>
    </row>
    <row r="358" spans="1:19" x14ac:dyDescent="0.3">
      <c r="A358" s="79"/>
      <c r="B358" s="79"/>
      <c r="Q358" s="78" t="str">
        <f>IFERROR(INDEX(CustomerDetails!$A$1:$C$469,CustomerDetails!$P344,COLUMNS($Q358:Q358)),"")</f>
        <v/>
      </c>
      <c r="R358" s="78" t="str">
        <f>IFERROR(INDEX(CustomerDetails!$A$1:$C$469,CustomerDetails!$P344,COLUMNS($Q358:R358)),"")</f>
        <v/>
      </c>
      <c r="S358" s="78" t="str">
        <f>IFERROR(INDEX(CustomerDetails!$A$1:$C$469,CustomerDetails!$P344,COLUMNS($Q358:S358)),"")</f>
        <v/>
      </c>
    </row>
    <row r="359" spans="1:19" x14ac:dyDescent="0.3">
      <c r="A359" s="79"/>
      <c r="B359" s="79"/>
      <c r="Q359" s="78" t="str">
        <f>IFERROR(INDEX(CustomerDetails!$A$1:$C$469,CustomerDetails!$P345,COLUMNS($Q359:Q359)),"")</f>
        <v/>
      </c>
      <c r="R359" s="78" t="str">
        <f>IFERROR(INDEX(CustomerDetails!$A$1:$C$469,CustomerDetails!$P345,COLUMNS($Q359:R359)),"")</f>
        <v/>
      </c>
      <c r="S359" s="78" t="str">
        <f>IFERROR(INDEX(CustomerDetails!$A$1:$C$469,CustomerDetails!$P345,COLUMNS($Q359:S359)),"")</f>
        <v/>
      </c>
    </row>
    <row r="360" spans="1:19" x14ac:dyDescent="0.3">
      <c r="A360" s="79"/>
      <c r="B360" s="79"/>
      <c r="Q360" s="78" t="str">
        <f>IFERROR(INDEX(CustomerDetails!$A$1:$C$469,CustomerDetails!$P346,COLUMNS($Q360:Q360)),"")</f>
        <v/>
      </c>
      <c r="R360" s="78" t="str">
        <f>IFERROR(INDEX(CustomerDetails!$A$1:$C$469,CustomerDetails!$P346,COLUMNS($Q360:R360)),"")</f>
        <v/>
      </c>
      <c r="S360" s="78" t="str">
        <f>IFERROR(INDEX(CustomerDetails!$A$1:$C$469,CustomerDetails!$P346,COLUMNS($Q360:S360)),"")</f>
        <v/>
      </c>
    </row>
    <row r="361" spans="1:19" x14ac:dyDescent="0.3">
      <c r="A361" s="79"/>
      <c r="B361" s="79"/>
      <c r="Q361" s="78" t="str">
        <f>IFERROR(INDEX(CustomerDetails!$A$1:$C$469,CustomerDetails!$P347,COLUMNS($Q361:Q361)),"")</f>
        <v/>
      </c>
      <c r="R361" s="78" t="str">
        <f>IFERROR(INDEX(CustomerDetails!$A$1:$C$469,CustomerDetails!$P347,COLUMNS($Q361:R361)),"")</f>
        <v/>
      </c>
      <c r="S361" s="78" t="str">
        <f>IFERROR(INDEX(CustomerDetails!$A$1:$C$469,CustomerDetails!$P347,COLUMNS($Q361:S361)),"")</f>
        <v/>
      </c>
    </row>
    <row r="362" spans="1:19" x14ac:dyDescent="0.3">
      <c r="A362" s="79"/>
      <c r="B362" s="79"/>
      <c r="Q362" s="78" t="str">
        <f>IFERROR(INDEX(CustomerDetails!$A$1:$C$469,CustomerDetails!$P348,COLUMNS($Q362:Q362)),"")</f>
        <v/>
      </c>
      <c r="R362" s="78" t="str">
        <f>IFERROR(INDEX(CustomerDetails!$A$1:$C$469,CustomerDetails!$P348,COLUMNS($Q362:R362)),"")</f>
        <v/>
      </c>
      <c r="S362" s="78" t="str">
        <f>IFERROR(INDEX(CustomerDetails!$A$1:$C$469,CustomerDetails!$P348,COLUMNS($Q362:S362)),"")</f>
        <v/>
      </c>
    </row>
    <row r="363" spans="1:19" x14ac:dyDescent="0.3">
      <c r="A363" s="79"/>
      <c r="B363" s="79"/>
      <c r="Q363" s="78" t="str">
        <f>IFERROR(INDEX(CustomerDetails!$A$1:$C$469,CustomerDetails!$P349,COLUMNS($Q363:Q363)),"")</f>
        <v/>
      </c>
      <c r="R363" s="78" t="str">
        <f>IFERROR(INDEX(CustomerDetails!$A$1:$C$469,CustomerDetails!$P349,COLUMNS($Q363:R363)),"")</f>
        <v/>
      </c>
      <c r="S363" s="78" t="str">
        <f>IFERROR(INDEX(CustomerDetails!$A$1:$C$469,CustomerDetails!$P349,COLUMNS($Q363:S363)),"")</f>
        <v/>
      </c>
    </row>
    <row r="364" spans="1:19" x14ac:dyDescent="0.3">
      <c r="A364" s="79"/>
      <c r="B364" s="79"/>
      <c r="Q364" s="78" t="str">
        <f>IFERROR(INDEX(CustomerDetails!$A$1:$C$469,CustomerDetails!$P350,COLUMNS($Q364:Q364)),"")</f>
        <v/>
      </c>
      <c r="R364" s="78" t="str">
        <f>IFERROR(INDEX(CustomerDetails!$A$1:$C$469,CustomerDetails!$P350,COLUMNS($Q364:R364)),"")</f>
        <v/>
      </c>
      <c r="S364" s="78" t="str">
        <f>IFERROR(INDEX(CustomerDetails!$A$1:$C$469,CustomerDetails!$P350,COLUMNS($Q364:S364)),"")</f>
        <v/>
      </c>
    </row>
    <row r="365" spans="1:19" x14ac:dyDescent="0.3">
      <c r="A365" s="79"/>
      <c r="B365" s="79"/>
      <c r="Q365" s="78" t="str">
        <f>IFERROR(INDEX(CustomerDetails!$A$1:$C$469,CustomerDetails!$P351,COLUMNS($Q365:Q365)),"")</f>
        <v/>
      </c>
      <c r="R365" s="78" t="str">
        <f>IFERROR(INDEX(CustomerDetails!$A$1:$C$469,CustomerDetails!$P351,COLUMNS($Q365:R365)),"")</f>
        <v/>
      </c>
      <c r="S365" s="78" t="str">
        <f>IFERROR(INDEX(CustomerDetails!$A$1:$C$469,CustomerDetails!$P351,COLUMNS($Q365:S365)),"")</f>
        <v/>
      </c>
    </row>
    <row r="366" spans="1:19" x14ac:dyDescent="0.3">
      <c r="A366" s="79"/>
      <c r="B366" s="79"/>
      <c r="Q366" s="78" t="str">
        <f>IFERROR(INDEX(CustomerDetails!$A$1:$C$469,CustomerDetails!$P352,COLUMNS($Q366:Q366)),"")</f>
        <v/>
      </c>
      <c r="R366" s="78" t="str">
        <f>IFERROR(INDEX(CustomerDetails!$A$1:$C$469,CustomerDetails!$P352,COLUMNS($Q366:R366)),"")</f>
        <v/>
      </c>
      <c r="S366" s="78" t="str">
        <f>IFERROR(INDEX(CustomerDetails!$A$1:$C$469,CustomerDetails!$P352,COLUMNS($Q366:S366)),"")</f>
        <v/>
      </c>
    </row>
    <row r="367" spans="1:19" x14ac:dyDescent="0.3">
      <c r="A367" s="79"/>
      <c r="B367" s="79"/>
      <c r="Q367" s="78" t="str">
        <f>IFERROR(INDEX(CustomerDetails!$A$1:$C$469,CustomerDetails!$P353,COLUMNS($Q367:Q367)),"")</f>
        <v/>
      </c>
      <c r="R367" s="78" t="str">
        <f>IFERROR(INDEX(CustomerDetails!$A$1:$C$469,CustomerDetails!$P353,COLUMNS($Q367:R367)),"")</f>
        <v/>
      </c>
      <c r="S367" s="78" t="str">
        <f>IFERROR(INDEX(CustomerDetails!$A$1:$C$469,CustomerDetails!$P353,COLUMNS($Q367:S367)),"")</f>
        <v/>
      </c>
    </row>
    <row r="368" spans="1:19" x14ac:dyDescent="0.3">
      <c r="A368" s="79"/>
      <c r="B368" s="79"/>
      <c r="Q368" s="78" t="str">
        <f>IFERROR(INDEX(CustomerDetails!$A$1:$C$469,CustomerDetails!$P354,COLUMNS($Q368:Q368)),"")</f>
        <v/>
      </c>
      <c r="R368" s="78" t="str">
        <f>IFERROR(INDEX(CustomerDetails!$A$1:$C$469,CustomerDetails!$P354,COLUMNS($Q368:R368)),"")</f>
        <v/>
      </c>
      <c r="S368" s="78" t="str">
        <f>IFERROR(INDEX(CustomerDetails!$A$1:$C$469,CustomerDetails!$P354,COLUMNS($Q368:S368)),"")</f>
        <v/>
      </c>
    </row>
    <row r="369" spans="1:19" x14ac:dyDescent="0.3">
      <c r="A369" s="79"/>
      <c r="B369" s="79"/>
      <c r="Q369" s="78" t="str">
        <f>IFERROR(INDEX(CustomerDetails!$A$1:$C$469,CustomerDetails!$P355,COLUMNS($Q369:Q369)),"")</f>
        <v/>
      </c>
      <c r="R369" s="78" t="str">
        <f>IFERROR(INDEX(CustomerDetails!$A$1:$C$469,CustomerDetails!$P355,COLUMNS($Q369:R369)),"")</f>
        <v/>
      </c>
      <c r="S369" s="78" t="str">
        <f>IFERROR(INDEX(CustomerDetails!$A$1:$C$469,CustomerDetails!$P355,COLUMNS($Q369:S369)),"")</f>
        <v/>
      </c>
    </row>
    <row r="370" spans="1:19" x14ac:dyDescent="0.3">
      <c r="A370" s="79"/>
      <c r="B370" s="79"/>
      <c r="Q370" s="78" t="str">
        <f>IFERROR(INDEX(CustomerDetails!$A$1:$C$469,CustomerDetails!$P356,COLUMNS($Q370:Q370)),"")</f>
        <v/>
      </c>
      <c r="R370" s="78" t="str">
        <f>IFERROR(INDEX(CustomerDetails!$A$1:$C$469,CustomerDetails!$P356,COLUMNS($Q370:R370)),"")</f>
        <v/>
      </c>
      <c r="S370" s="78" t="str">
        <f>IFERROR(INDEX(CustomerDetails!$A$1:$C$469,CustomerDetails!$P356,COLUMNS($Q370:S370)),"")</f>
        <v/>
      </c>
    </row>
    <row r="371" spans="1:19" x14ac:dyDescent="0.3">
      <c r="A371" s="79"/>
      <c r="B371" s="79"/>
      <c r="Q371" s="78" t="str">
        <f>IFERROR(INDEX(CustomerDetails!$A$1:$C$469,CustomerDetails!$P357,COLUMNS($Q371:Q371)),"")</f>
        <v/>
      </c>
      <c r="R371" s="78" t="str">
        <f>IFERROR(INDEX(CustomerDetails!$A$1:$C$469,CustomerDetails!$P357,COLUMNS($Q371:R371)),"")</f>
        <v/>
      </c>
      <c r="S371" s="78" t="str">
        <f>IFERROR(INDEX(CustomerDetails!$A$1:$C$469,CustomerDetails!$P357,COLUMNS($Q371:S371)),"")</f>
        <v/>
      </c>
    </row>
    <row r="372" spans="1:19" x14ac:dyDescent="0.3">
      <c r="A372" s="79"/>
      <c r="B372" s="79"/>
      <c r="Q372" s="78" t="str">
        <f>IFERROR(INDEX(CustomerDetails!$A$1:$C$469,CustomerDetails!$P358,COLUMNS($Q372:Q372)),"")</f>
        <v/>
      </c>
      <c r="R372" s="78" t="str">
        <f>IFERROR(INDEX(CustomerDetails!$A$1:$C$469,CustomerDetails!$P358,COLUMNS($Q372:R372)),"")</f>
        <v/>
      </c>
      <c r="S372" s="78" t="str">
        <f>IFERROR(INDEX(CustomerDetails!$A$1:$C$469,CustomerDetails!$P358,COLUMNS($Q372:S372)),"")</f>
        <v/>
      </c>
    </row>
    <row r="373" spans="1:19" x14ac:dyDescent="0.3">
      <c r="A373" s="79"/>
      <c r="B373" s="79"/>
      <c r="Q373" s="78" t="str">
        <f>IFERROR(INDEX(CustomerDetails!$A$1:$C$469,CustomerDetails!$P359,COLUMNS($Q373:Q373)),"")</f>
        <v/>
      </c>
      <c r="R373" s="78" t="str">
        <f>IFERROR(INDEX(CustomerDetails!$A$1:$C$469,CustomerDetails!$P359,COLUMNS($Q373:R373)),"")</f>
        <v/>
      </c>
      <c r="S373" s="78" t="str">
        <f>IFERROR(INDEX(CustomerDetails!$A$1:$C$469,CustomerDetails!$P359,COLUMNS($Q373:S373)),"")</f>
        <v/>
      </c>
    </row>
    <row r="374" spans="1:19" x14ac:dyDescent="0.3">
      <c r="A374" s="79"/>
      <c r="B374" s="79"/>
      <c r="Q374" s="78" t="str">
        <f>IFERROR(INDEX(CustomerDetails!$A$1:$C$469,CustomerDetails!$P360,COLUMNS($Q374:Q374)),"")</f>
        <v/>
      </c>
      <c r="R374" s="78" t="str">
        <f>IFERROR(INDEX(CustomerDetails!$A$1:$C$469,CustomerDetails!$P360,COLUMNS($Q374:R374)),"")</f>
        <v/>
      </c>
      <c r="S374" s="78" t="str">
        <f>IFERROR(INDEX(CustomerDetails!$A$1:$C$469,CustomerDetails!$P360,COLUMNS($Q374:S374)),"")</f>
        <v/>
      </c>
    </row>
    <row r="375" spans="1:19" x14ac:dyDescent="0.3">
      <c r="A375" s="79"/>
      <c r="B375" s="79"/>
      <c r="Q375" s="78" t="str">
        <f>IFERROR(INDEX(CustomerDetails!$A$1:$C$469,CustomerDetails!$P361,COLUMNS($Q375:Q375)),"")</f>
        <v/>
      </c>
      <c r="R375" s="78" t="str">
        <f>IFERROR(INDEX(CustomerDetails!$A$1:$C$469,CustomerDetails!$P361,COLUMNS($Q375:R375)),"")</f>
        <v/>
      </c>
      <c r="S375" s="78" t="str">
        <f>IFERROR(INDEX(CustomerDetails!$A$1:$C$469,CustomerDetails!$P361,COLUMNS($Q375:S375)),"")</f>
        <v/>
      </c>
    </row>
    <row r="376" spans="1:19" x14ac:dyDescent="0.3">
      <c r="A376" s="79"/>
      <c r="B376" s="79"/>
      <c r="Q376" s="78" t="str">
        <f>IFERROR(INDEX(CustomerDetails!$A$1:$C$469,CustomerDetails!$P362,COLUMNS($Q376:Q376)),"")</f>
        <v/>
      </c>
      <c r="R376" s="78" t="str">
        <f>IFERROR(INDEX(CustomerDetails!$A$1:$C$469,CustomerDetails!$P362,COLUMNS($Q376:R376)),"")</f>
        <v/>
      </c>
      <c r="S376" s="78" t="str">
        <f>IFERROR(INDEX(CustomerDetails!$A$1:$C$469,CustomerDetails!$P362,COLUMNS($Q376:S376)),"")</f>
        <v/>
      </c>
    </row>
    <row r="377" spans="1:19" x14ac:dyDescent="0.3">
      <c r="A377" s="79"/>
      <c r="B377" s="79"/>
      <c r="Q377" s="78" t="str">
        <f>IFERROR(INDEX(CustomerDetails!$A$1:$C$469,CustomerDetails!$P363,COLUMNS($Q377:Q377)),"")</f>
        <v/>
      </c>
      <c r="R377" s="78" t="str">
        <f>IFERROR(INDEX(CustomerDetails!$A$1:$C$469,CustomerDetails!$P363,COLUMNS($Q377:R377)),"")</f>
        <v/>
      </c>
      <c r="S377" s="78" t="str">
        <f>IFERROR(INDEX(CustomerDetails!$A$1:$C$469,CustomerDetails!$P363,COLUMNS($Q377:S377)),"")</f>
        <v/>
      </c>
    </row>
    <row r="378" spans="1:19" x14ac:dyDescent="0.3">
      <c r="A378" s="79"/>
      <c r="B378" s="79"/>
      <c r="Q378" s="78" t="str">
        <f>IFERROR(INDEX(CustomerDetails!$A$1:$C$469,CustomerDetails!$P364,COLUMNS($Q378:Q378)),"")</f>
        <v/>
      </c>
      <c r="R378" s="78" t="str">
        <f>IFERROR(INDEX(CustomerDetails!$A$1:$C$469,CustomerDetails!$P364,COLUMNS($Q378:R378)),"")</f>
        <v/>
      </c>
      <c r="S378" s="78" t="str">
        <f>IFERROR(INDEX(CustomerDetails!$A$1:$C$469,CustomerDetails!$P364,COLUMNS($Q378:S378)),"")</f>
        <v/>
      </c>
    </row>
    <row r="379" spans="1:19" x14ac:dyDescent="0.3">
      <c r="A379" s="79"/>
      <c r="B379" s="79"/>
      <c r="Q379" s="78" t="str">
        <f>IFERROR(INDEX(CustomerDetails!$A$1:$C$469,CustomerDetails!$P365,COLUMNS($Q379:Q379)),"")</f>
        <v/>
      </c>
      <c r="R379" s="78" t="str">
        <f>IFERROR(INDEX(CustomerDetails!$A$1:$C$469,CustomerDetails!$P365,COLUMNS($Q379:R379)),"")</f>
        <v/>
      </c>
      <c r="S379" s="78" t="str">
        <f>IFERROR(INDEX(CustomerDetails!$A$1:$C$469,CustomerDetails!$P365,COLUMNS($Q379:S379)),"")</f>
        <v/>
      </c>
    </row>
    <row r="380" spans="1:19" x14ac:dyDescent="0.3">
      <c r="A380" s="79"/>
      <c r="B380" s="79"/>
      <c r="Q380" s="78" t="str">
        <f>IFERROR(INDEX(CustomerDetails!$A$1:$C$469,CustomerDetails!$P366,COLUMNS($Q380:Q380)),"")</f>
        <v/>
      </c>
      <c r="R380" s="78" t="str">
        <f>IFERROR(INDEX(CustomerDetails!$A$1:$C$469,CustomerDetails!$P366,COLUMNS($Q380:R380)),"")</f>
        <v/>
      </c>
      <c r="S380" s="78" t="str">
        <f>IFERROR(INDEX(CustomerDetails!$A$1:$C$469,CustomerDetails!$P366,COLUMNS($Q380:S380)),"")</f>
        <v/>
      </c>
    </row>
    <row r="381" spans="1:19" x14ac:dyDescent="0.3">
      <c r="A381" s="79"/>
      <c r="B381" s="79"/>
      <c r="Q381" s="78" t="str">
        <f>IFERROR(INDEX(CustomerDetails!$A$1:$C$469,CustomerDetails!$P367,COLUMNS($Q381:Q381)),"")</f>
        <v/>
      </c>
      <c r="R381" s="78" t="str">
        <f>IFERROR(INDEX(CustomerDetails!$A$1:$C$469,CustomerDetails!$P367,COLUMNS($Q381:R381)),"")</f>
        <v/>
      </c>
      <c r="S381" s="78" t="str">
        <f>IFERROR(INDEX(CustomerDetails!$A$1:$C$469,CustomerDetails!$P367,COLUMNS($Q381:S381)),"")</f>
        <v/>
      </c>
    </row>
    <row r="382" spans="1:19" x14ac:dyDescent="0.3">
      <c r="A382" s="79"/>
      <c r="B382" s="79"/>
      <c r="Q382" s="78" t="str">
        <f>IFERROR(INDEX(CustomerDetails!$A$1:$C$469,CustomerDetails!$P368,COLUMNS($Q382:Q382)),"")</f>
        <v/>
      </c>
      <c r="R382" s="78" t="str">
        <f>IFERROR(INDEX(CustomerDetails!$A$1:$C$469,CustomerDetails!$P368,COLUMNS($Q382:R382)),"")</f>
        <v/>
      </c>
      <c r="S382" s="78" t="str">
        <f>IFERROR(INDEX(CustomerDetails!$A$1:$C$469,CustomerDetails!$P368,COLUMNS($Q382:S382)),"")</f>
        <v/>
      </c>
    </row>
    <row r="383" spans="1:19" x14ac:dyDescent="0.3">
      <c r="A383" s="79"/>
      <c r="B383" s="79"/>
      <c r="Q383" s="78" t="str">
        <f>IFERROR(INDEX(CustomerDetails!$A$1:$C$469,CustomerDetails!$P369,COLUMNS($Q383:Q383)),"")</f>
        <v/>
      </c>
      <c r="R383" s="78" t="str">
        <f>IFERROR(INDEX(CustomerDetails!$A$1:$C$469,CustomerDetails!$P369,COLUMNS($Q383:R383)),"")</f>
        <v/>
      </c>
      <c r="S383" s="78" t="str">
        <f>IFERROR(INDEX(CustomerDetails!$A$1:$C$469,CustomerDetails!$P369,COLUMNS($Q383:S383)),"")</f>
        <v/>
      </c>
    </row>
    <row r="384" spans="1:19" x14ac:dyDescent="0.3">
      <c r="A384" s="79"/>
      <c r="B384" s="79"/>
      <c r="Q384" s="78" t="str">
        <f>IFERROR(INDEX(CustomerDetails!$A$1:$C$469,CustomerDetails!$P370,COLUMNS($Q384:Q384)),"")</f>
        <v/>
      </c>
      <c r="R384" s="78" t="str">
        <f>IFERROR(INDEX(CustomerDetails!$A$1:$C$469,CustomerDetails!$P370,COLUMNS($Q384:R384)),"")</f>
        <v/>
      </c>
      <c r="S384" s="78" t="str">
        <f>IFERROR(INDEX(CustomerDetails!$A$1:$C$469,CustomerDetails!$P370,COLUMNS($Q384:S384)),"")</f>
        <v/>
      </c>
    </row>
    <row r="385" spans="1:19" x14ac:dyDescent="0.3">
      <c r="A385" s="79"/>
      <c r="B385" s="79"/>
      <c r="Q385" s="78" t="str">
        <f>IFERROR(INDEX(CustomerDetails!$A$1:$C$469,CustomerDetails!$P371,COLUMNS($Q385:Q385)),"")</f>
        <v/>
      </c>
      <c r="R385" s="78" t="str">
        <f>IFERROR(INDEX(CustomerDetails!$A$1:$C$469,CustomerDetails!$P371,COLUMNS($Q385:R385)),"")</f>
        <v/>
      </c>
      <c r="S385" s="78" t="str">
        <f>IFERROR(INDEX(CustomerDetails!$A$1:$C$469,CustomerDetails!$P371,COLUMNS($Q385:S385)),"")</f>
        <v/>
      </c>
    </row>
    <row r="386" spans="1:19" x14ac:dyDescent="0.3">
      <c r="A386" s="79"/>
      <c r="B386" s="79"/>
      <c r="Q386" s="78" t="str">
        <f>IFERROR(INDEX(CustomerDetails!$A$1:$C$469,CustomerDetails!$P372,COLUMNS($Q386:Q386)),"")</f>
        <v/>
      </c>
      <c r="R386" s="78" t="str">
        <f>IFERROR(INDEX(CustomerDetails!$A$1:$C$469,CustomerDetails!$P372,COLUMNS($Q386:R386)),"")</f>
        <v/>
      </c>
      <c r="S386" s="78" t="str">
        <f>IFERROR(INDEX(CustomerDetails!$A$1:$C$469,CustomerDetails!$P372,COLUMNS($Q386:S386)),"")</f>
        <v/>
      </c>
    </row>
    <row r="387" spans="1:19" x14ac:dyDescent="0.3">
      <c r="A387" s="79"/>
      <c r="B387" s="79"/>
      <c r="Q387" s="78" t="str">
        <f>IFERROR(INDEX(CustomerDetails!$A$1:$C$469,CustomerDetails!$P373,COLUMNS($Q387:Q387)),"")</f>
        <v/>
      </c>
      <c r="R387" s="78" t="str">
        <f>IFERROR(INDEX(CustomerDetails!$A$1:$C$469,CustomerDetails!$P373,COLUMNS($Q387:R387)),"")</f>
        <v/>
      </c>
      <c r="S387" s="78" t="str">
        <f>IFERROR(INDEX(CustomerDetails!$A$1:$C$469,CustomerDetails!$P373,COLUMNS($Q387:S387)),"")</f>
        <v/>
      </c>
    </row>
    <row r="388" spans="1:19" x14ac:dyDescent="0.3">
      <c r="A388" s="79"/>
      <c r="B388" s="79"/>
      <c r="Q388" s="78" t="str">
        <f>IFERROR(INDEX(CustomerDetails!$A$1:$C$469,CustomerDetails!$P374,COLUMNS($Q388:Q388)),"")</f>
        <v/>
      </c>
      <c r="R388" s="78" t="str">
        <f>IFERROR(INDEX(CustomerDetails!$A$1:$C$469,CustomerDetails!$P374,COLUMNS($Q388:R388)),"")</f>
        <v/>
      </c>
      <c r="S388" s="78" t="str">
        <f>IFERROR(INDEX(CustomerDetails!$A$1:$C$469,CustomerDetails!$P374,COLUMNS($Q388:S388)),"")</f>
        <v/>
      </c>
    </row>
    <row r="389" spans="1:19" x14ac:dyDescent="0.3">
      <c r="A389" s="79"/>
      <c r="B389" s="79"/>
      <c r="Q389" s="78" t="str">
        <f>IFERROR(INDEX(CustomerDetails!$A$1:$C$469,CustomerDetails!$P375,COLUMNS($Q389:Q389)),"")</f>
        <v/>
      </c>
      <c r="R389" s="78" t="str">
        <f>IFERROR(INDEX(CustomerDetails!$A$1:$C$469,CustomerDetails!$P375,COLUMNS($Q389:R389)),"")</f>
        <v/>
      </c>
      <c r="S389" s="78" t="str">
        <f>IFERROR(INDEX(CustomerDetails!$A$1:$C$469,CustomerDetails!$P375,COLUMNS($Q389:S389)),"")</f>
        <v/>
      </c>
    </row>
    <row r="390" spans="1:19" x14ac:dyDescent="0.3">
      <c r="A390" s="79"/>
      <c r="B390" s="79"/>
      <c r="Q390" s="78" t="str">
        <f>IFERROR(INDEX(CustomerDetails!$A$1:$C$469,CustomerDetails!$P376,COLUMNS($Q390:Q390)),"")</f>
        <v/>
      </c>
      <c r="R390" s="78" t="str">
        <f>IFERROR(INDEX(CustomerDetails!$A$1:$C$469,CustomerDetails!$P376,COLUMNS($Q390:R390)),"")</f>
        <v/>
      </c>
      <c r="S390" s="78" t="str">
        <f>IFERROR(INDEX(CustomerDetails!$A$1:$C$469,CustomerDetails!$P376,COLUMNS($Q390:S390)),"")</f>
        <v/>
      </c>
    </row>
    <row r="391" spans="1:19" x14ac:dyDescent="0.3">
      <c r="A391" s="79"/>
      <c r="B391" s="79"/>
      <c r="Q391" s="78" t="str">
        <f>IFERROR(INDEX(CustomerDetails!$A$1:$C$469,CustomerDetails!$P377,COLUMNS($Q391:Q391)),"")</f>
        <v/>
      </c>
      <c r="R391" s="78" t="str">
        <f>IFERROR(INDEX(CustomerDetails!$A$1:$C$469,CustomerDetails!$P377,COLUMNS($Q391:R391)),"")</f>
        <v/>
      </c>
      <c r="S391" s="78" t="str">
        <f>IFERROR(INDEX(CustomerDetails!$A$1:$C$469,CustomerDetails!$P377,COLUMNS($Q391:S391)),"")</f>
        <v/>
      </c>
    </row>
    <row r="392" spans="1:19" x14ac:dyDescent="0.3">
      <c r="A392" s="79"/>
      <c r="B392" s="79"/>
      <c r="Q392" s="78" t="str">
        <f>IFERROR(INDEX(CustomerDetails!$A$1:$C$469,CustomerDetails!$P378,COLUMNS($Q392:Q392)),"")</f>
        <v/>
      </c>
      <c r="R392" s="78" t="str">
        <f>IFERROR(INDEX(CustomerDetails!$A$1:$C$469,CustomerDetails!$P378,COLUMNS($Q392:R392)),"")</f>
        <v/>
      </c>
      <c r="S392" s="78" t="str">
        <f>IFERROR(INDEX(CustomerDetails!$A$1:$C$469,CustomerDetails!$P378,COLUMNS($Q392:S392)),"")</f>
        <v/>
      </c>
    </row>
    <row r="393" spans="1:19" x14ac:dyDescent="0.3">
      <c r="A393" s="79"/>
      <c r="B393" s="79"/>
      <c r="Q393" s="78" t="str">
        <f>IFERROR(INDEX(CustomerDetails!$A$1:$C$469,CustomerDetails!$P379,COLUMNS($Q393:Q393)),"")</f>
        <v/>
      </c>
      <c r="R393" s="78" t="str">
        <f>IFERROR(INDEX(CustomerDetails!$A$1:$C$469,CustomerDetails!$P379,COLUMNS($Q393:R393)),"")</f>
        <v/>
      </c>
      <c r="S393" s="78" t="str">
        <f>IFERROR(INDEX(CustomerDetails!$A$1:$C$469,CustomerDetails!$P379,COLUMNS($Q393:S393)),"")</f>
        <v/>
      </c>
    </row>
    <row r="394" spans="1:19" x14ac:dyDescent="0.3">
      <c r="A394" s="79"/>
      <c r="B394" s="79"/>
      <c r="Q394" s="78" t="str">
        <f>IFERROR(INDEX(CustomerDetails!$A$1:$C$469,CustomerDetails!$P380,COLUMNS($Q394:Q394)),"")</f>
        <v/>
      </c>
      <c r="R394" s="78" t="str">
        <f>IFERROR(INDEX(CustomerDetails!$A$1:$C$469,CustomerDetails!$P380,COLUMNS($Q394:R394)),"")</f>
        <v/>
      </c>
      <c r="S394" s="78" t="str">
        <f>IFERROR(INDEX(CustomerDetails!$A$1:$C$469,CustomerDetails!$P380,COLUMNS($Q394:S394)),"")</f>
        <v/>
      </c>
    </row>
    <row r="395" spans="1:19" x14ac:dyDescent="0.3">
      <c r="A395" s="79"/>
      <c r="B395" s="79"/>
      <c r="Q395" s="78" t="str">
        <f>IFERROR(INDEX(CustomerDetails!$A$1:$C$469,CustomerDetails!$P381,COLUMNS($Q395:Q395)),"")</f>
        <v/>
      </c>
      <c r="R395" s="78" t="str">
        <f>IFERROR(INDEX(CustomerDetails!$A$1:$C$469,CustomerDetails!$P381,COLUMNS($Q395:R395)),"")</f>
        <v/>
      </c>
      <c r="S395" s="78" t="str">
        <f>IFERROR(INDEX(CustomerDetails!$A$1:$C$469,CustomerDetails!$P381,COLUMNS($Q395:S395)),"")</f>
        <v/>
      </c>
    </row>
    <row r="396" spans="1:19" x14ac:dyDescent="0.3">
      <c r="A396" s="79"/>
      <c r="B396" s="79"/>
      <c r="Q396" s="78" t="str">
        <f>IFERROR(INDEX(CustomerDetails!$A$1:$C$469,CustomerDetails!$P382,COLUMNS($Q396:Q396)),"")</f>
        <v/>
      </c>
      <c r="R396" s="78" t="str">
        <f>IFERROR(INDEX(CustomerDetails!$A$1:$C$469,CustomerDetails!$P382,COLUMNS($Q396:R396)),"")</f>
        <v/>
      </c>
      <c r="S396" s="78" t="str">
        <f>IFERROR(INDEX(CustomerDetails!$A$1:$C$469,CustomerDetails!$P382,COLUMNS($Q396:S396)),"")</f>
        <v/>
      </c>
    </row>
    <row r="397" spans="1:19" x14ac:dyDescent="0.3">
      <c r="A397" s="79"/>
      <c r="B397" s="79"/>
      <c r="Q397" s="78" t="str">
        <f>IFERROR(INDEX(CustomerDetails!$A$1:$C$469,CustomerDetails!$P383,COLUMNS($Q397:Q397)),"")</f>
        <v/>
      </c>
      <c r="R397" s="78" t="str">
        <f>IFERROR(INDEX(CustomerDetails!$A$1:$C$469,CustomerDetails!$P383,COLUMNS($Q397:R397)),"")</f>
        <v/>
      </c>
      <c r="S397" s="78" t="str">
        <f>IFERROR(INDEX(CustomerDetails!$A$1:$C$469,CustomerDetails!$P383,COLUMNS($Q397:S397)),"")</f>
        <v/>
      </c>
    </row>
    <row r="398" spans="1:19" x14ac:dyDescent="0.3">
      <c r="A398" s="79"/>
      <c r="B398" s="79"/>
      <c r="Q398" s="78" t="str">
        <f>IFERROR(INDEX(CustomerDetails!$A$1:$C$469,CustomerDetails!$P384,COLUMNS($Q398:Q398)),"")</f>
        <v/>
      </c>
      <c r="R398" s="78" t="str">
        <f>IFERROR(INDEX(CustomerDetails!$A$1:$C$469,CustomerDetails!$P384,COLUMNS($Q398:R398)),"")</f>
        <v/>
      </c>
      <c r="S398" s="78" t="str">
        <f>IFERROR(INDEX(CustomerDetails!$A$1:$C$469,CustomerDetails!$P384,COLUMNS($Q398:S398)),"")</f>
        <v/>
      </c>
    </row>
    <row r="399" spans="1:19" x14ac:dyDescent="0.3">
      <c r="A399" s="79"/>
      <c r="B399" s="79"/>
      <c r="Q399" s="78" t="str">
        <f>IFERROR(INDEX(CustomerDetails!$A$1:$C$469,CustomerDetails!$P385,COLUMNS($Q399:Q399)),"")</f>
        <v/>
      </c>
      <c r="R399" s="78" t="str">
        <f>IFERROR(INDEX(CustomerDetails!$A$1:$C$469,CustomerDetails!$P385,COLUMNS($Q399:R399)),"")</f>
        <v/>
      </c>
      <c r="S399" s="78" t="str">
        <f>IFERROR(INDEX(CustomerDetails!$A$1:$C$469,CustomerDetails!$P385,COLUMNS($Q399:S399)),"")</f>
        <v/>
      </c>
    </row>
    <row r="400" spans="1:19" x14ac:dyDescent="0.3">
      <c r="A400" s="79"/>
      <c r="B400" s="79"/>
      <c r="Q400" s="78" t="str">
        <f>IFERROR(INDEX(CustomerDetails!$A$1:$C$469,CustomerDetails!$P386,COLUMNS($Q400:Q400)),"")</f>
        <v/>
      </c>
      <c r="R400" s="78" t="str">
        <f>IFERROR(INDEX(CustomerDetails!$A$1:$C$469,CustomerDetails!$P386,COLUMNS($Q400:R400)),"")</f>
        <v/>
      </c>
      <c r="S400" s="78" t="str">
        <f>IFERROR(INDEX(CustomerDetails!$A$1:$C$469,CustomerDetails!$P386,COLUMNS($Q400:S400)),"")</f>
        <v/>
      </c>
    </row>
    <row r="401" spans="1:19" x14ac:dyDescent="0.3">
      <c r="A401" s="79"/>
      <c r="B401" s="79"/>
      <c r="Q401" s="78" t="str">
        <f>IFERROR(INDEX(CustomerDetails!$A$1:$C$469,CustomerDetails!$P387,COLUMNS($Q401:Q401)),"")</f>
        <v/>
      </c>
      <c r="R401" s="78" t="str">
        <f>IFERROR(INDEX(CustomerDetails!$A$1:$C$469,CustomerDetails!$P387,COLUMNS($Q401:R401)),"")</f>
        <v/>
      </c>
      <c r="S401" s="78" t="str">
        <f>IFERROR(INDEX(CustomerDetails!$A$1:$C$469,CustomerDetails!$P387,COLUMNS($Q401:S401)),"")</f>
        <v/>
      </c>
    </row>
    <row r="402" spans="1:19" x14ac:dyDescent="0.3">
      <c r="A402" s="79"/>
      <c r="B402" s="79"/>
      <c r="Q402" s="78" t="str">
        <f>IFERROR(INDEX(CustomerDetails!$A$1:$C$469,CustomerDetails!$P388,COLUMNS($Q402:Q402)),"")</f>
        <v/>
      </c>
      <c r="R402" s="78" t="str">
        <f>IFERROR(INDEX(CustomerDetails!$A$1:$C$469,CustomerDetails!$P388,COLUMNS($Q402:R402)),"")</f>
        <v/>
      </c>
      <c r="S402" s="78" t="str">
        <f>IFERROR(INDEX(CustomerDetails!$A$1:$C$469,CustomerDetails!$P388,COLUMNS($Q402:S402)),"")</f>
        <v/>
      </c>
    </row>
    <row r="403" spans="1:19" x14ac:dyDescent="0.3">
      <c r="A403" s="79"/>
      <c r="B403" s="79"/>
      <c r="Q403" s="78" t="str">
        <f>IFERROR(INDEX(CustomerDetails!$A$1:$C$469,CustomerDetails!$P389,COLUMNS($Q403:Q403)),"")</f>
        <v/>
      </c>
      <c r="R403" s="78" t="str">
        <f>IFERROR(INDEX(CustomerDetails!$A$1:$C$469,CustomerDetails!$P389,COLUMNS($Q403:R403)),"")</f>
        <v/>
      </c>
      <c r="S403" s="78" t="str">
        <f>IFERROR(INDEX(CustomerDetails!$A$1:$C$469,CustomerDetails!$P389,COLUMNS($Q403:S403)),"")</f>
        <v/>
      </c>
    </row>
    <row r="404" spans="1:19" x14ac:dyDescent="0.3">
      <c r="A404" s="79"/>
      <c r="B404" s="79"/>
      <c r="Q404" s="78" t="str">
        <f>IFERROR(INDEX(CustomerDetails!$A$1:$C$469,CustomerDetails!$P390,COLUMNS($Q404:Q404)),"")</f>
        <v/>
      </c>
      <c r="R404" s="78" t="str">
        <f>IFERROR(INDEX(CustomerDetails!$A$1:$C$469,CustomerDetails!$P390,COLUMNS($Q404:R404)),"")</f>
        <v/>
      </c>
      <c r="S404" s="78" t="str">
        <f>IFERROR(INDEX(CustomerDetails!$A$1:$C$469,CustomerDetails!$P390,COLUMNS($Q404:S404)),"")</f>
        <v/>
      </c>
    </row>
    <row r="405" spans="1:19" x14ac:dyDescent="0.3">
      <c r="A405" s="79"/>
      <c r="B405" s="79"/>
      <c r="Q405" s="78" t="str">
        <f>IFERROR(INDEX(CustomerDetails!$A$1:$C$469,CustomerDetails!$P391,COLUMNS($Q405:Q405)),"")</f>
        <v/>
      </c>
      <c r="R405" s="78" t="str">
        <f>IFERROR(INDEX(CustomerDetails!$A$1:$C$469,CustomerDetails!$P391,COLUMNS($Q405:R405)),"")</f>
        <v/>
      </c>
      <c r="S405" s="78" t="str">
        <f>IFERROR(INDEX(CustomerDetails!$A$1:$C$469,CustomerDetails!$P391,COLUMNS($Q405:S405)),"")</f>
        <v/>
      </c>
    </row>
    <row r="406" spans="1:19" x14ac:dyDescent="0.3">
      <c r="A406" s="79"/>
      <c r="B406" s="79"/>
      <c r="Q406" s="78" t="str">
        <f>IFERROR(INDEX(CustomerDetails!$A$1:$C$469,CustomerDetails!$P392,COLUMNS($Q406:Q406)),"")</f>
        <v/>
      </c>
      <c r="R406" s="78" t="str">
        <f>IFERROR(INDEX(CustomerDetails!$A$1:$C$469,CustomerDetails!$P392,COLUMNS($Q406:R406)),"")</f>
        <v/>
      </c>
      <c r="S406" s="78" t="str">
        <f>IFERROR(INDEX(CustomerDetails!$A$1:$C$469,CustomerDetails!$P392,COLUMNS($Q406:S406)),"")</f>
        <v/>
      </c>
    </row>
    <row r="407" spans="1:19" x14ac:dyDescent="0.3">
      <c r="A407" s="79"/>
      <c r="B407" s="79"/>
      <c r="Q407" s="78" t="str">
        <f>IFERROR(INDEX(CustomerDetails!$A$1:$C$469,CustomerDetails!$P393,COLUMNS($Q407:Q407)),"")</f>
        <v/>
      </c>
      <c r="R407" s="78" t="str">
        <f>IFERROR(INDEX(CustomerDetails!$A$1:$C$469,CustomerDetails!$P393,COLUMNS($Q407:R407)),"")</f>
        <v/>
      </c>
      <c r="S407" s="78" t="str">
        <f>IFERROR(INDEX(CustomerDetails!$A$1:$C$469,CustomerDetails!$P393,COLUMNS($Q407:S407)),"")</f>
        <v/>
      </c>
    </row>
    <row r="408" spans="1:19" x14ac:dyDescent="0.3">
      <c r="A408" s="79"/>
      <c r="B408" s="79"/>
      <c r="Q408" s="78" t="str">
        <f>IFERROR(INDEX(CustomerDetails!$A$1:$C$469,CustomerDetails!$P394,COLUMNS($Q408:Q408)),"")</f>
        <v/>
      </c>
      <c r="R408" s="78" t="str">
        <f>IFERROR(INDEX(CustomerDetails!$A$1:$C$469,CustomerDetails!$P394,COLUMNS($Q408:R408)),"")</f>
        <v/>
      </c>
      <c r="S408" s="78" t="str">
        <f>IFERROR(INDEX(CustomerDetails!$A$1:$C$469,CustomerDetails!$P394,COLUMNS($Q408:S408)),"")</f>
        <v/>
      </c>
    </row>
    <row r="409" spans="1:19" x14ac:dyDescent="0.3">
      <c r="A409" s="79"/>
      <c r="B409" s="79"/>
      <c r="Q409" s="78" t="str">
        <f>IFERROR(INDEX(CustomerDetails!$A$1:$C$469,CustomerDetails!$P395,COLUMNS($Q409:Q409)),"")</f>
        <v/>
      </c>
      <c r="R409" s="78" t="str">
        <f>IFERROR(INDEX(CustomerDetails!$A$1:$C$469,CustomerDetails!$P395,COLUMNS($Q409:R409)),"")</f>
        <v/>
      </c>
      <c r="S409" s="78" t="str">
        <f>IFERROR(INDEX(CustomerDetails!$A$1:$C$469,CustomerDetails!$P395,COLUMNS($Q409:S409)),"")</f>
        <v/>
      </c>
    </row>
    <row r="410" spans="1:19" x14ac:dyDescent="0.3">
      <c r="A410" s="79"/>
      <c r="B410" s="79"/>
      <c r="Q410" s="78" t="str">
        <f>IFERROR(INDEX(CustomerDetails!$A$1:$C$469,CustomerDetails!$P396,COLUMNS($Q410:Q410)),"")</f>
        <v/>
      </c>
      <c r="R410" s="78" t="str">
        <f>IFERROR(INDEX(CustomerDetails!$A$1:$C$469,CustomerDetails!$P396,COLUMNS($Q410:R410)),"")</f>
        <v/>
      </c>
      <c r="S410" s="78" t="str">
        <f>IFERROR(INDEX(CustomerDetails!$A$1:$C$469,CustomerDetails!$P396,COLUMNS($Q410:S410)),"")</f>
        <v/>
      </c>
    </row>
    <row r="411" spans="1:19" x14ac:dyDescent="0.3">
      <c r="A411" s="79"/>
      <c r="B411" s="79"/>
      <c r="Q411" s="78" t="str">
        <f>IFERROR(INDEX(CustomerDetails!$A$1:$C$469,CustomerDetails!$P397,COLUMNS($Q411:Q411)),"")</f>
        <v/>
      </c>
      <c r="R411" s="78" t="str">
        <f>IFERROR(INDEX(CustomerDetails!$A$1:$C$469,CustomerDetails!$P397,COLUMNS($Q411:R411)),"")</f>
        <v/>
      </c>
      <c r="S411" s="78" t="str">
        <f>IFERROR(INDEX(CustomerDetails!$A$1:$C$469,CustomerDetails!$P397,COLUMNS($Q411:S411)),"")</f>
        <v/>
      </c>
    </row>
    <row r="412" spans="1:19" x14ac:dyDescent="0.3">
      <c r="A412" s="79"/>
      <c r="B412" s="79"/>
      <c r="Q412" s="78" t="str">
        <f>IFERROR(INDEX(CustomerDetails!$A$1:$C$469,CustomerDetails!$P398,COLUMNS($Q412:Q412)),"")</f>
        <v/>
      </c>
      <c r="R412" s="78" t="str">
        <f>IFERROR(INDEX(CustomerDetails!$A$1:$C$469,CustomerDetails!$P398,COLUMNS($Q412:R412)),"")</f>
        <v/>
      </c>
      <c r="S412" s="78" t="str">
        <f>IFERROR(INDEX(CustomerDetails!$A$1:$C$469,CustomerDetails!$P398,COLUMNS($Q412:S412)),"")</f>
        <v/>
      </c>
    </row>
    <row r="413" spans="1:19" x14ac:dyDescent="0.3">
      <c r="A413" s="79"/>
      <c r="B413" s="79"/>
      <c r="Q413" s="78" t="str">
        <f>IFERROR(INDEX(CustomerDetails!$A$1:$C$469,CustomerDetails!$P399,COLUMNS($Q413:Q413)),"")</f>
        <v/>
      </c>
      <c r="R413" s="78" t="str">
        <f>IFERROR(INDEX(CustomerDetails!$A$1:$C$469,CustomerDetails!$P399,COLUMNS($Q413:R413)),"")</f>
        <v/>
      </c>
      <c r="S413" s="78" t="str">
        <f>IFERROR(INDEX(CustomerDetails!$A$1:$C$469,CustomerDetails!$P399,COLUMNS($Q413:S413)),"")</f>
        <v/>
      </c>
    </row>
    <row r="414" spans="1:19" x14ac:dyDescent="0.3">
      <c r="A414" s="79"/>
      <c r="B414" s="79"/>
      <c r="Q414" s="78" t="str">
        <f>IFERROR(INDEX(CustomerDetails!$A$1:$C$469,CustomerDetails!$P400,COLUMNS($Q414:Q414)),"")</f>
        <v/>
      </c>
      <c r="R414" s="78" t="str">
        <f>IFERROR(INDEX(CustomerDetails!$A$1:$C$469,CustomerDetails!$P400,COLUMNS($Q414:R414)),"")</f>
        <v/>
      </c>
      <c r="S414" s="78" t="str">
        <f>IFERROR(INDEX(CustomerDetails!$A$1:$C$469,CustomerDetails!$P400,COLUMNS($Q414:S414)),"")</f>
        <v/>
      </c>
    </row>
    <row r="415" spans="1:19" x14ac:dyDescent="0.3">
      <c r="A415" s="79"/>
      <c r="B415" s="79"/>
      <c r="Q415" s="78" t="str">
        <f>IFERROR(INDEX(CustomerDetails!$A$1:$C$469,CustomerDetails!$P401,COLUMNS($Q415:Q415)),"")</f>
        <v/>
      </c>
      <c r="R415" s="78" t="str">
        <f>IFERROR(INDEX(CustomerDetails!$A$1:$C$469,CustomerDetails!$P401,COLUMNS($Q415:R415)),"")</f>
        <v/>
      </c>
      <c r="S415" s="78" t="str">
        <f>IFERROR(INDEX(CustomerDetails!$A$1:$C$469,CustomerDetails!$P401,COLUMNS($Q415:S415)),"")</f>
        <v/>
      </c>
    </row>
    <row r="416" spans="1:19" x14ac:dyDescent="0.3">
      <c r="A416" s="79"/>
      <c r="B416" s="79"/>
      <c r="Q416" s="78" t="str">
        <f>IFERROR(INDEX(CustomerDetails!$A$1:$C$469,CustomerDetails!$P402,COLUMNS($Q416:Q416)),"")</f>
        <v/>
      </c>
      <c r="R416" s="78" t="str">
        <f>IFERROR(INDEX(CustomerDetails!$A$1:$C$469,CustomerDetails!$P402,COLUMNS($Q416:R416)),"")</f>
        <v/>
      </c>
      <c r="S416" s="78" t="str">
        <f>IFERROR(INDEX(CustomerDetails!$A$1:$C$469,CustomerDetails!$P402,COLUMNS($Q416:S416)),"")</f>
        <v/>
      </c>
    </row>
    <row r="417" spans="1:19" x14ac:dyDescent="0.3">
      <c r="A417" s="79"/>
      <c r="B417" s="79"/>
      <c r="Q417" s="78" t="str">
        <f>IFERROR(INDEX(CustomerDetails!$A$1:$C$469,CustomerDetails!$P403,COLUMNS($Q417:Q417)),"")</f>
        <v/>
      </c>
      <c r="R417" s="78" t="str">
        <f>IFERROR(INDEX(CustomerDetails!$A$1:$C$469,CustomerDetails!$P403,COLUMNS($Q417:R417)),"")</f>
        <v/>
      </c>
      <c r="S417" s="78" t="str">
        <f>IFERROR(INDEX(CustomerDetails!$A$1:$C$469,CustomerDetails!$P403,COLUMNS($Q417:S417)),"")</f>
        <v/>
      </c>
    </row>
    <row r="418" spans="1:19" x14ac:dyDescent="0.3">
      <c r="A418" s="79"/>
      <c r="B418" s="79"/>
      <c r="Q418" s="78" t="str">
        <f>IFERROR(INDEX(CustomerDetails!$A$1:$C$469,CustomerDetails!$P404,COLUMNS($Q418:Q418)),"")</f>
        <v/>
      </c>
      <c r="R418" s="78" t="str">
        <f>IFERROR(INDEX(CustomerDetails!$A$1:$C$469,CustomerDetails!$P404,COLUMNS($Q418:R418)),"")</f>
        <v/>
      </c>
      <c r="S418" s="78" t="str">
        <f>IFERROR(INDEX(CustomerDetails!$A$1:$C$469,CustomerDetails!$P404,COLUMNS($Q418:S418)),"")</f>
        <v/>
      </c>
    </row>
    <row r="419" spans="1:19" x14ac:dyDescent="0.3">
      <c r="A419" s="79"/>
      <c r="B419" s="79"/>
      <c r="Q419" s="78" t="str">
        <f>IFERROR(INDEX(CustomerDetails!$A$1:$C$469,CustomerDetails!$P405,COLUMNS($Q419:Q419)),"")</f>
        <v/>
      </c>
      <c r="R419" s="78" t="str">
        <f>IFERROR(INDEX(CustomerDetails!$A$1:$C$469,CustomerDetails!$P405,COLUMNS($Q419:R419)),"")</f>
        <v/>
      </c>
      <c r="S419" s="78" t="str">
        <f>IFERROR(INDEX(CustomerDetails!$A$1:$C$469,CustomerDetails!$P405,COLUMNS($Q419:S419)),"")</f>
        <v/>
      </c>
    </row>
    <row r="420" spans="1:19" x14ac:dyDescent="0.3">
      <c r="A420" s="79"/>
      <c r="B420" s="79"/>
      <c r="Q420" s="78" t="str">
        <f>IFERROR(INDEX(CustomerDetails!$A$1:$C$469,CustomerDetails!$P406,COLUMNS($Q420:Q420)),"")</f>
        <v/>
      </c>
      <c r="R420" s="78" t="str">
        <f>IFERROR(INDEX(CustomerDetails!$A$1:$C$469,CustomerDetails!$P406,COLUMNS($Q420:R420)),"")</f>
        <v/>
      </c>
      <c r="S420" s="78" t="str">
        <f>IFERROR(INDEX(CustomerDetails!$A$1:$C$469,CustomerDetails!$P406,COLUMNS($Q420:S420)),"")</f>
        <v/>
      </c>
    </row>
    <row r="421" spans="1:19" x14ac:dyDescent="0.3">
      <c r="A421" s="79"/>
      <c r="B421" s="79"/>
      <c r="Q421" s="78" t="str">
        <f>IFERROR(INDEX(CustomerDetails!$A$1:$C$469,CustomerDetails!$P407,COLUMNS($Q421:Q421)),"")</f>
        <v/>
      </c>
      <c r="R421" s="78" t="str">
        <f>IFERROR(INDEX(CustomerDetails!$A$1:$C$469,CustomerDetails!$P407,COLUMNS($Q421:R421)),"")</f>
        <v/>
      </c>
      <c r="S421" s="78" t="str">
        <f>IFERROR(INDEX(CustomerDetails!$A$1:$C$469,CustomerDetails!$P407,COLUMNS($Q421:S421)),"")</f>
        <v/>
      </c>
    </row>
    <row r="422" spans="1:19" x14ac:dyDescent="0.3">
      <c r="A422" s="79"/>
      <c r="B422" s="79"/>
      <c r="Q422" s="78" t="str">
        <f>IFERROR(INDEX(CustomerDetails!$A$1:$C$469,CustomerDetails!$P408,COLUMNS($Q422:Q422)),"")</f>
        <v/>
      </c>
      <c r="R422" s="78" t="str">
        <f>IFERROR(INDEX(CustomerDetails!$A$1:$C$469,CustomerDetails!$P408,COLUMNS($Q422:R422)),"")</f>
        <v/>
      </c>
      <c r="S422" s="78" t="str">
        <f>IFERROR(INDEX(CustomerDetails!$A$1:$C$469,CustomerDetails!$P408,COLUMNS($Q422:S422)),"")</f>
        <v/>
      </c>
    </row>
    <row r="423" spans="1:19" x14ac:dyDescent="0.3">
      <c r="A423" s="79"/>
      <c r="B423" s="79"/>
      <c r="Q423" s="78" t="str">
        <f>IFERROR(INDEX(CustomerDetails!$A$1:$C$469,CustomerDetails!$P409,COLUMNS($Q423:Q423)),"")</f>
        <v/>
      </c>
      <c r="R423" s="78" t="str">
        <f>IFERROR(INDEX(CustomerDetails!$A$1:$C$469,CustomerDetails!$P409,COLUMNS($Q423:R423)),"")</f>
        <v/>
      </c>
      <c r="S423" s="78" t="str">
        <f>IFERROR(INDEX(CustomerDetails!$A$1:$C$469,CustomerDetails!$P409,COLUMNS($Q423:S423)),"")</f>
        <v/>
      </c>
    </row>
    <row r="424" spans="1:19" x14ac:dyDescent="0.3">
      <c r="A424" s="79"/>
      <c r="B424" s="79"/>
      <c r="Q424" s="78" t="str">
        <f>IFERROR(INDEX(CustomerDetails!$A$1:$C$469,CustomerDetails!$P410,COLUMNS($Q424:Q424)),"")</f>
        <v/>
      </c>
      <c r="R424" s="78" t="str">
        <f>IFERROR(INDEX(CustomerDetails!$A$1:$C$469,CustomerDetails!$P410,COLUMNS($Q424:R424)),"")</f>
        <v/>
      </c>
      <c r="S424" s="78" t="str">
        <f>IFERROR(INDEX(CustomerDetails!$A$1:$C$469,CustomerDetails!$P410,COLUMNS($Q424:S424)),"")</f>
        <v/>
      </c>
    </row>
    <row r="425" spans="1:19" x14ac:dyDescent="0.3">
      <c r="A425" s="79"/>
      <c r="B425" s="79"/>
      <c r="Q425" s="78" t="str">
        <f>IFERROR(INDEX(CustomerDetails!$A$1:$C$469,CustomerDetails!$P411,COLUMNS($Q425:Q425)),"")</f>
        <v/>
      </c>
      <c r="R425" s="78" t="str">
        <f>IFERROR(INDEX(CustomerDetails!$A$1:$C$469,CustomerDetails!$P411,COLUMNS($Q425:R425)),"")</f>
        <v/>
      </c>
      <c r="S425" s="78" t="str">
        <f>IFERROR(INDEX(CustomerDetails!$A$1:$C$469,CustomerDetails!$P411,COLUMNS($Q425:S425)),"")</f>
        <v/>
      </c>
    </row>
    <row r="426" spans="1:19" x14ac:dyDescent="0.3">
      <c r="A426" s="79"/>
      <c r="B426" s="79"/>
      <c r="Q426" s="78" t="str">
        <f>IFERROR(INDEX(CustomerDetails!$A$1:$C$469,CustomerDetails!$P412,COLUMNS($Q426:Q426)),"")</f>
        <v/>
      </c>
      <c r="R426" s="78" t="str">
        <f>IFERROR(INDEX(CustomerDetails!$A$1:$C$469,CustomerDetails!$P412,COLUMNS($Q426:R426)),"")</f>
        <v/>
      </c>
      <c r="S426" s="78" t="str">
        <f>IFERROR(INDEX(CustomerDetails!$A$1:$C$469,CustomerDetails!$P412,COLUMNS($Q426:S426)),"")</f>
        <v/>
      </c>
    </row>
    <row r="427" spans="1:19" x14ac:dyDescent="0.3">
      <c r="A427" s="79"/>
      <c r="B427" s="79"/>
      <c r="Q427" s="78" t="str">
        <f>IFERROR(INDEX(CustomerDetails!$A$1:$C$469,CustomerDetails!$P413,COLUMNS($Q427:Q427)),"")</f>
        <v/>
      </c>
      <c r="R427" s="78" t="str">
        <f>IFERROR(INDEX(CustomerDetails!$A$1:$C$469,CustomerDetails!$P413,COLUMNS($Q427:R427)),"")</f>
        <v/>
      </c>
      <c r="S427" s="78" t="str">
        <f>IFERROR(INDEX(CustomerDetails!$A$1:$C$469,CustomerDetails!$P413,COLUMNS($Q427:S427)),"")</f>
        <v/>
      </c>
    </row>
    <row r="428" spans="1:19" x14ac:dyDescent="0.3">
      <c r="A428" s="79"/>
      <c r="B428" s="79"/>
      <c r="Q428" s="78" t="str">
        <f>IFERROR(INDEX(CustomerDetails!$A$1:$C$469,CustomerDetails!$P414,COLUMNS($Q428:Q428)),"")</f>
        <v/>
      </c>
      <c r="R428" s="78" t="str">
        <f>IFERROR(INDEX(CustomerDetails!$A$1:$C$469,CustomerDetails!$P414,COLUMNS($Q428:R428)),"")</f>
        <v/>
      </c>
      <c r="S428" s="78" t="str">
        <f>IFERROR(INDEX(CustomerDetails!$A$1:$C$469,CustomerDetails!$P414,COLUMNS($Q428:S428)),"")</f>
        <v/>
      </c>
    </row>
    <row r="429" spans="1:19" x14ac:dyDescent="0.3">
      <c r="A429" s="79"/>
      <c r="B429" s="79"/>
      <c r="Q429" s="78" t="str">
        <f>IFERROR(INDEX(CustomerDetails!$A$1:$C$469,CustomerDetails!$P415,COLUMNS($Q429:Q429)),"")</f>
        <v/>
      </c>
      <c r="R429" s="78" t="str">
        <f>IFERROR(INDEX(CustomerDetails!$A$1:$C$469,CustomerDetails!$P415,COLUMNS($Q429:R429)),"")</f>
        <v/>
      </c>
      <c r="S429" s="78" t="str">
        <f>IFERROR(INDEX(CustomerDetails!$A$1:$C$469,CustomerDetails!$P415,COLUMNS($Q429:S429)),"")</f>
        <v/>
      </c>
    </row>
    <row r="430" spans="1:19" x14ac:dyDescent="0.3">
      <c r="A430" s="79"/>
      <c r="B430" s="79"/>
      <c r="Q430" s="78" t="str">
        <f>IFERROR(INDEX(CustomerDetails!$A$1:$C$469,CustomerDetails!$P416,COLUMNS($Q430:Q430)),"")</f>
        <v/>
      </c>
      <c r="R430" s="78" t="str">
        <f>IFERROR(INDEX(CustomerDetails!$A$1:$C$469,CustomerDetails!$P416,COLUMNS($Q430:R430)),"")</f>
        <v/>
      </c>
      <c r="S430" s="78" t="str">
        <f>IFERROR(INDEX(CustomerDetails!$A$1:$C$469,CustomerDetails!$P416,COLUMNS($Q430:S430)),"")</f>
        <v/>
      </c>
    </row>
    <row r="431" spans="1:19" x14ac:dyDescent="0.3">
      <c r="A431" s="79"/>
      <c r="B431" s="79"/>
      <c r="Q431" s="78" t="str">
        <f>IFERROR(INDEX(CustomerDetails!$A$1:$C$469,CustomerDetails!$P417,COLUMNS($Q431:Q431)),"")</f>
        <v/>
      </c>
      <c r="R431" s="78" t="str">
        <f>IFERROR(INDEX(CustomerDetails!$A$1:$C$469,CustomerDetails!$P417,COLUMNS($Q431:R431)),"")</f>
        <v/>
      </c>
      <c r="S431" s="78" t="str">
        <f>IFERROR(INDEX(CustomerDetails!$A$1:$C$469,CustomerDetails!$P417,COLUMNS($Q431:S431)),"")</f>
        <v/>
      </c>
    </row>
    <row r="432" spans="1:19" x14ac:dyDescent="0.3">
      <c r="A432" s="79"/>
      <c r="B432" s="79"/>
      <c r="Q432" s="78" t="str">
        <f>IFERROR(INDEX(CustomerDetails!$A$1:$C$469,CustomerDetails!$P418,COLUMNS($Q432:Q432)),"")</f>
        <v/>
      </c>
      <c r="R432" s="78" t="str">
        <f>IFERROR(INDEX(CustomerDetails!$A$1:$C$469,CustomerDetails!$P418,COLUMNS($Q432:R432)),"")</f>
        <v/>
      </c>
      <c r="S432" s="78" t="str">
        <f>IFERROR(INDEX(CustomerDetails!$A$1:$C$469,CustomerDetails!$P418,COLUMNS($Q432:S432)),"")</f>
        <v/>
      </c>
    </row>
    <row r="433" spans="1:19" x14ac:dyDescent="0.3">
      <c r="A433" s="79"/>
      <c r="B433" s="79"/>
      <c r="Q433" s="78" t="str">
        <f>IFERROR(INDEX(CustomerDetails!$A$1:$C$469,CustomerDetails!$P419,COLUMNS($Q433:Q433)),"")</f>
        <v/>
      </c>
      <c r="R433" s="78" t="str">
        <f>IFERROR(INDEX(CustomerDetails!$A$1:$C$469,CustomerDetails!$P419,COLUMNS($Q433:R433)),"")</f>
        <v/>
      </c>
      <c r="S433" s="78" t="str">
        <f>IFERROR(INDEX(CustomerDetails!$A$1:$C$469,CustomerDetails!$P419,COLUMNS($Q433:S433)),"")</f>
        <v/>
      </c>
    </row>
    <row r="434" spans="1:19" x14ac:dyDescent="0.3">
      <c r="A434" s="79"/>
      <c r="B434" s="79"/>
      <c r="Q434" s="78" t="str">
        <f>IFERROR(INDEX(CustomerDetails!$A$1:$C$469,CustomerDetails!$P420,COLUMNS($Q434:Q434)),"")</f>
        <v/>
      </c>
      <c r="R434" s="78" t="str">
        <f>IFERROR(INDEX(CustomerDetails!$A$1:$C$469,CustomerDetails!$P420,COLUMNS($Q434:R434)),"")</f>
        <v/>
      </c>
      <c r="S434" s="78" t="str">
        <f>IFERROR(INDEX(CustomerDetails!$A$1:$C$469,CustomerDetails!$P420,COLUMNS($Q434:S434)),"")</f>
        <v/>
      </c>
    </row>
    <row r="435" spans="1:19" x14ac:dyDescent="0.3">
      <c r="A435" s="79"/>
      <c r="B435" s="79"/>
      <c r="Q435" s="78" t="str">
        <f>IFERROR(INDEX(CustomerDetails!$A$1:$C$469,CustomerDetails!$P421,COLUMNS($Q435:Q435)),"")</f>
        <v/>
      </c>
      <c r="R435" s="78" t="str">
        <f>IFERROR(INDEX(CustomerDetails!$A$1:$C$469,CustomerDetails!$P421,COLUMNS($Q435:R435)),"")</f>
        <v/>
      </c>
      <c r="S435" s="78" t="str">
        <f>IFERROR(INDEX(CustomerDetails!$A$1:$C$469,CustomerDetails!$P421,COLUMNS($Q435:S435)),"")</f>
        <v/>
      </c>
    </row>
    <row r="436" spans="1:19" x14ac:dyDescent="0.3">
      <c r="A436" s="79"/>
      <c r="B436" s="79"/>
      <c r="Q436" s="78" t="str">
        <f>IFERROR(INDEX(CustomerDetails!$A$1:$C$469,CustomerDetails!$P422,COLUMNS($Q436:Q436)),"")</f>
        <v/>
      </c>
      <c r="R436" s="78" t="str">
        <f>IFERROR(INDEX(CustomerDetails!$A$1:$C$469,CustomerDetails!$P422,COLUMNS($Q436:R436)),"")</f>
        <v/>
      </c>
      <c r="S436" s="78" t="str">
        <f>IFERROR(INDEX(CustomerDetails!$A$1:$C$469,CustomerDetails!$P422,COLUMNS($Q436:S436)),"")</f>
        <v/>
      </c>
    </row>
    <row r="437" spans="1:19" x14ac:dyDescent="0.3">
      <c r="A437" s="79"/>
      <c r="B437" s="79"/>
      <c r="Q437" s="78" t="str">
        <f>IFERROR(INDEX(CustomerDetails!$A$1:$C$469,CustomerDetails!$P423,COLUMNS($Q437:Q437)),"")</f>
        <v/>
      </c>
      <c r="R437" s="78" t="str">
        <f>IFERROR(INDEX(CustomerDetails!$A$1:$C$469,CustomerDetails!$P423,COLUMNS($Q437:R437)),"")</f>
        <v/>
      </c>
      <c r="S437" s="78" t="str">
        <f>IFERROR(INDEX(CustomerDetails!$A$1:$C$469,CustomerDetails!$P423,COLUMNS($Q437:S437)),"")</f>
        <v/>
      </c>
    </row>
    <row r="438" spans="1:19" x14ac:dyDescent="0.3">
      <c r="A438" s="79"/>
      <c r="B438" s="79"/>
      <c r="Q438" s="78" t="str">
        <f>IFERROR(INDEX(CustomerDetails!$A$1:$C$469,CustomerDetails!$P424,COLUMNS($Q438:Q438)),"")</f>
        <v/>
      </c>
      <c r="R438" s="78" t="str">
        <f>IFERROR(INDEX(CustomerDetails!$A$1:$C$469,CustomerDetails!$P424,COLUMNS($Q438:R438)),"")</f>
        <v/>
      </c>
      <c r="S438" s="78" t="str">
        <f>IFERROR(INDEX(CustomerDetails!$A$1:$C$469,CustomerDetails!$P424,COLUMNS($Q438:S438)),"")</f>
        <v/>
      </c>
    </row>
    <row r="439" spans="1:19" x14ac:dyDescent="0.3">
      <c r="A439" s="79"/>
      <c r="B439" s="79"/>
      <c r="Q439" s="78" t="str">
        <f>IFERROR(INDEX(CustomerDetails!$A$1:$C$469,CustomerDetails!$P425,COLUMNS($Q439:Q439)),"")</f>
        <v/>
      </c>
      <c r="R439" s="78" t="str">
        <f>IFERROR(INDEX(CustomerDetails!$A$1:$C$469,CustomerDetails!$P425,COLUMNS($Q439:R439)),"")</f>
        <v/>
      </c>
      <c r="S439" s="78" t="str">
        <f>IFERROR(INDEX(CustomerDetails!$A$1:$C$469,CustomerDetails!$P425,COLUMNS($Q439:S439)),"")</f>
        <v/>
      </c>
    </row>
    <row r="440" spans="1:19" x14ac:dyDescent="0.3">
      <c r="A440" s="79"/>
      <c r="B440" s="79"/>
      <c r="Q440" s="78" t="str">
        <f>IFERROR(INDEX(CustomerDetails!$A$1:$C$469,CustomerDetails!$P426,COLUMNS($Q440:Q440)),"")</f>
        <v/>
      </c>
      <c r="R440" s="78" t="str">
        <f>IFERROR(INDEX(CustomerDetails!$A$1:$C$469,CustomerDetails!$P426,COLUMNS($Q440:R440)),"")</f>
        <v/>
      </c>
      <c r="S440" s="78" t="str">
        <f>IFERROR(INDEX(CustomerDetails!$A$1:$C$469,CustomerDetails!$P426,COLUMNS($Q440:S440)),"")</f>
        <v/>
      </c>
    </row>
    <row r="441" spans="1:19" x14ac:dyDescent="0.3">
      <c r="A441" s="79"/>
      <c r="B441" s="79"/>
      <c r="Q441" s="78" t="str">
        <f>IFERROR(INDEX(CustomerDetails!$A$1:$C$469,CustomerDetails!$P427,COLUMNS($Q441:Q441)),"")</f>
        <v/>
      </c>
      <c r="R441" s="78" t="str">
        <f>IFERROR(INDEX(CustomerDetails!$A$1:$C$469,CustomerDetails!$P427,COLUMNS($Q441:R441)),"")</f>
        <v/>
      </c>
      <c r="S441" s="78" t="str">
        <f>IFERROR(INDEX(CustomerDetails!$A$1:$C$469,CustomerDetails!$P427,COLUMNS($Q441:S441)),"")</f>
        <v/>
      </c>
    </row>
    <row r="442" spans="1:19" x14ac:dyDescent="0.3">
      <c r="A442" s="79"/>
      <c r="B442" s="79"/>
      <c r="Q442" s="78" t="str">
        <f>IFERROR(INDEX(CustomerDetails!$A$1:$C$469,CustomerDetails!$P428,COLUMNS($Q442:Q442)),"")</f>
        <v/>
      </c>
      <c r="R442" s="78" t="str">
        <f>IFERROR(INDEX(CustomerDetails!$A$1:$C$469,CustomerDetails!$P428,COLUMNS($Q442:R442)),"")</f>
        <v/>
      </c>
      <c r="S442" s="78" t="str">
        <f>IFERROR(INDEX(CustomerDetails!$A$1:$C$469,CustomerDetails!$P428,COLUMNS($Q442:S442)),"")</f>
        <v/>
      </c>
    </row>
    <row r="443" spans="1:19" x14ac:dyDescent="0.3">
      <c r="A443" s="79"/>
      <c r="B443" s="79"/>
      <c r="Q443" s="78" t="str">
        <f>IFERROR(INDEX(CustomerDetails!$A$1:$C$469,CustomerDetails!$P429,COLUMNS($Q443:Q443)),"")</f>
        <v/>
      </c>
      <c r="R443" s="78" t="str">
        <f>IFERROR(INDEX(CustomerDetails!$A$1:$C$469,CustomerDetails!$P429,COLUMNS($Q443:R443)),"")</f>
        <v/>
      </c>
      <c r="S443" s="78" t="str">
        <f>IFERROR(INDEX(CustomerDetails!$A$1:$C$469,CustomerDetails!$P429,COLUMNS($Q443:S443)),"")</f>
        <v/>
      </c>
    </row>
    <row r="444" spans="1:19" x14ac:dyDescent="0.3">
      <c r="A444" s="79"/>
      <c r="B444" s="79"/>
      <c r="Q444" s="78" t="str">
        <f>IFERROR(INDEX(CustomerDetails!$A$1:$C$469,CustomerDetails!$P430,COLUMNS($Q444:Q444)),"")</f>
        <v/>
      </c>
      <c r="R444" s="78" t="str">
        <f>IFERROR(INDEX(CustomerDetails!$A$1:$C$469,CustomerDetails!$P430,COLUMNS($Q444:R444)),"")</f>
        <v/>
      </c>
      <c r="S444" s="78" t="str">
        <f>IFERROR(INDEX(CustomerDetails!$A$1:$C$469,CustomerDetails!$P430,COLUMNS($Q444:S444)),"")</f>
        <v/>
      </c>
    </row>
    <row r="445" spans="1:19" x14ac:dyDescent="0.3">
      <c r="A445" s="79"/>
      <c r="B445" s="79"/>
      <c r="Q445" s="78" t="str">
        <f>IFERROR(INDEX(CustomerDetails!$A$1:$C$469,CustomerDetails!$P431,COLUMNS($Q445:Q445)),"")</f>
        <v/>
      </c>
      <c r="R445" s="78" t="str">
        <f>IFERROR(INDEX(CustomerDetails!$A$1:$C$469,CustomerDetails!$P431,COLUMNS($Q445:R445)),"")</f>
        <v/>
      </c>
      <c r="S445" s="78" t="str">
        <f>IFERROR(INDEX(CustomerDetails!$A$1:$C$469,CustomerDetails!$P431,COLUMNS($Q445:S445)),"")</f>
        <v/>
      </c>
    </row>
    <row r="446" spans="1:19" x14ac:dyDescent="0.3">
      <c r="A446" s="79"/>
      <c r="B446" s="79"/>
      <c r="Q446" s="78" t="str">
        <f>IFERROR(INDEX(CustomerDetails!$A$1:$C$469,CustomerDetails!$P432,COLUMNS($Q446:Q446)),"")</f>
        <v/>
      </c>
      <c r="R446" s="78" t="str">
        <f>IFERROR(INDEX(CustomerDetails!$A$1:$C$469,CustomerDetails!$P432,COLUMNS($Q446:R446)),"")</f>
        <v/>
      </c>
      <c r="S446" s="78" t="str">
        <f>IFERROR(INDEX(CustomerDetails!$A$1:$C$469,CustomerDetails!$P432,COLUMNS($Q446:S446)),"")</f>
        <v/>
      </c>
    </row>
    <row r="447" spans="1:19" x14ac:dyDescent="0.3">
      <c r="A447" s="79"/>
      <c r="B447" s="79"/>
      <c r="Q447" s="78" t="str">
        <f>IFERROR(INDEX(CustomerDetails!$A$1:$C$469,CustomerDetails!$P433,COLUMNS($Q447:Q447)),"")</f>
        <v/>
      </c>
      <c r="R447" s="78" t="str">
        <f>IFERROR(INDEX(CustomerDetails!$A$1:$C$469,CustomerDetails!$P433,COLUMNS($Q447:R447)),"")</f>
        <v/>
      </c>
      <c r="S447" s="78" t="str">
        <f>IFERROR(INDEX(CustomerDetails!$A$1:$C$469,CustomerDetails!$P433,COLUMNS($Q447:S447)),"")</f>
        <v/>
      </c>
    </row>
    <row r="448" spans="1:19" x14ac:dyDescent="0.3">
      <c r="A448" s="79"/>
      <c r="B448" s="79"/>
      <c r="Q448" s="78" t="str">
        <f>IFERROR(INDEX(CustomerDetails!$A$1:$C$469,CustomerDetails!$P434,COLUMNS($Q448:Q448)),"")</f>
        <v/>
      </c>
      <c r="R448" s="78" t="str">
        <f>IFERROR(INDEX(CustomerDetails!$A$1:$C$469,CustomerDetails!$P434,COLUMNS($Q448:R448)),"")</f>
        <v/>
      </c>
      <c r="S448" s="78" t="str">
        <f>IFERROR(INDEX(CustomerDetails!$A$1:$C$469,CustomerDetails!$P434,COLUMNS($Q448:S448)),"")</f>
        <v/>
      </c>
    </row>
    <row r="449" spans="1:19" x14ac:dyDescent="0.3">
      <c r="A449" s="79"/>
      <c r="B449" s="79"/>
      <c r="Q449" s="78" t="str">
        <f>IFERROR(INDEX(CustomerDetails!$A$1:$C$469,CustomerDetails!$P435,COLUMNS($Q449:Q449)),"")</f>
        <v/>
      </c>
      <c r="R449" s="78" t="str">
        <f>IFERROR(INDEX(CustomerDetails!$A$1:$C$469,CustomerDetails!$P435,COLUMNS($Q449:R449)),"")</f>
        <v/>
      </c>
      <c r="S449" s="78" t="str">
        <f>IFERROR(INDEX(CustomerDetails!$A$1:$C$469,CustomerDetails!$P435,COLUMNS($Q449:S449)),"")</f>
        <v/>
      </c>
    </row>
    <row r="450" spans="1:19" x14ac:dyDescent="0.3">
      <c r="A450" s="79"/>
      <c r="B450" s="79"/>
      <c r="Q450" s="78" t="str">
        <f>IFERROR(INDEX(CustomerDetails!$A$1:$C$469,CustomerDetails!$P436,COLUMNS($Q450:Q450)),"")</f>
        <v/>
      </c>
      <c r="R450" s="78" t="str">
        <f>IFERROR(INDEX(CustomerDetails!$A$1:$C$469,CustomerDetails!$P436,COLUMNS($Q450:R450)),"")</f>
        <v/>
      </c>
      <c r="S450" s="78" t="str">
        <f>IFERROR(INDEX(CustomerDetails!$A$1:$C$469,CustomerDetails!$P436,COLUMNS($Q450:S450)),"")</f>
        <v/>
      </c>
    </row>
    <row r="451" spans="1:19" x14ac:dyDescent="0.3">
      <c r="A451" s="79"/>
      <c r="B451" s="79"/>
      <c r="Q451" s="78" t="str">
        <f>IFERROR(INDEX(CustomerDetails!$A$1:$C$469,CustomerDetails!$P437,COLUMNS($Q451:Q451)),"")</f>
        <v/>
      </c>
      <c r="R451" s="78" t="str">
        <f>IFERROR(INDEX(CustomerDetails!$A$1:$C$469,CustomerDetails!$P437,COLUMNS($Q451:R451)),"")</f>
        <v/>
      </c>
      <c r="S451" s="78" t="str">
        <f>IFERROR(INDEX(CustomerDetails!$A$1:$C$469,CustomerDetails!$P437,COLUMNS($Q451:S451)),"")</f>
        <v/>
      </c>
    </row>
    <row r="452" spans="1:19" x14ac:dyDescent="0.3">
      <c r="A452" s="79"/>
      <c r="B452" s="79"/>
      <c r="Q452" s="78" t="str">
        <f>IFERROR(INDEX(CustomerDetails!$A$1:$C$469,CustomerDetails!$P438,COLUMNS($Q452:Q452)),"")</f>
        <v/>
      </c>
      <c r="R452" s="78" t="str">
        <f>IFERROR(INDEX(CustomerDetails!$A$1:$C$469,CustomerDetails!$P438,COLUMNS($Q452:R452)),"")</f>
        <v/>
      </c>
      <c r="S452" s="78" t="str">
        <f>IFERROR(INDEX(CustomerDetails!$A$1:$C$469,CustomerDetails!$P438,COLUMNS($Q452:S452)),"")</f>
        <v/>
      </c>
    </row>
    <row r="453" spans="1:19" x14ac:dyDescent="0.3">
      <c r="A453" s="79"/>
      <c r="B453" s="79"/>
      <c r="Q453" s="78" t="str">
        <f>IFERROR(INDEX(CustomerDetails!$A$1:$C$469,CustomerDetails!$P439,COLUMNS($Q453:Q453)),"")</f>
        <v/>
      </c>
      <c r="R453" s="78" t="str">
        <f>IFERROR(INDEX(CustomerDetails!$A$1:$C$469,CustomerDetails!$P439,COLUMNS($Q453:R453)),"")</f>
        <v/>
      </c>
      <c r="S453" s="78" t="str">
        <f>IFERROR(INDEX(CustomerDetails!$A$1:$C$469,CustomerDetails!$P439,COLUMNS($Q453:S453)),"")</f>
        <v/>
      </c>
    </row>
    <row r="454" spans="1:19" x14ac:dyDescent="0.3">
      <c r="A454" s="79"/>
      <c r="B454" s="79"/>
      <c r="Q454" s="78" t="str">
        <f>IFERROR(INDEX(CustomerDetails!$A$1:$C$469,CustomerDetails!$P440,COLUMNS($Q454:Q454)),"")</f>
        <v/>
      </c>
      <c r="R454" s="78" t="str">
        <f>IFERROR(INDEX(CustomerDetails!$A$1:$C$469,CustomerDetails!$P440,COLUMNS($Q454:R454)),"")</f>
        <v/>
      </c>
      <c r="S454" s="78" t="str">
        <f>IFERROR(INDEX(CustomerDetails!$A$1:$C$469,CustomerDetails!$P440,COLUMNS($Q454:S454)),"")</f>
        <v/>
      </c>
    </row>
    <row r="455" spans="1:19" x14ac:dyDescent="0.3">
      <c r="A455" s="79"/>
      <c r="B455" s="79"/>
      <c r="Q455" s="78" t="str">
        <f>IFERROR(INDEX(CustomerDetails!$A$1:$C$469,CustomerDetails!$P441,COLUMNS($Q455:Q455)),"")</f>
        <v/>
      </c>
      <c r="R455" s="78" t="str">
        <f>IFERROR(INDEX(CustomerDetails!$A$1:$C$469,CustomerDetails!$P441,COLUMNS($Q455:R455)),"")</f>
        <v/>
      </c>
      <c r="S455" s="78" t="str">
        <f>IFERROR(INDEX(CustomerDetails!$A$1:$C$469,CustomerDetails!$P441,COLUMNS($Q455:S455)),"")</f>
        <v/>
      </c>
    </row>
    <row r="456" spans="1:19" x14ac:dyDescent="0.3">
      <c r="A456" s="79"/>
      <c r="B456" s="79"/>
      <c r="Q456" s="78" t="str">
        <f>IFERROR(INDEX(CustomerDetails!$A$1:$C$469,CustomerDetails!$P442,COLUMNS($Q456:Q456)),"")</f>
        <v/>
      </c>
      <c r="R456" s="78" t="str">
        <f>IFERROR(INDEX(CustomerDetails!$A$1:$C$469,CustomerDetails!$P442,COLUMNS($Q456:R456)),"")</f>
        <v/>
      </c>
      <c r="S456" s="78" t="str">
        <f>IFERROR(INDEX(CustomerDetails!$A$1:$C$469,CustomerDetails!$P442,COLUMNS($Q456:S456)),"")</f>
        <v/>
      </c>
    </row>
    <row r="457" spans="1:19" x14ac:dyDescent="0.3">
      <c r="A457" s="79"/>
      <c r="B457" s="79"/>
      <c r="Q457" s="78" t="str">
        <f>IFERROR(INDEX(CustomerDetails!$A$1:$C$469,CustomerDetails!$P443,COLUMNS($Q457:Q457)),"")</f>
        <v/>
      </c>
      <c r="R457" s="78" t="str">
        <f>IFERROR(INDEX(CustomerDetails!$A$1:$C$469,CustomerDetails!$P443,COLUMNS($Q457:R457)),"")</f>
        <v/>
      </c>
      <c r="S457" s="78" t="str">
        <f>IFERROR(INDEX(CustomerDetails!$A$1:$C$469,CustomerDetails!$P443,COLUMNS($Q457:S457)),"")</f>
        <v/>
      </c>
    </row>
    <row r="458" spans="1:19" x14ac:dyDescent="0.3">
      <c r="A458" s="79"/>
      <c r="B458" s="79"/>
      <c r="Q458" s="78" t="str">
        <f>IFERROR(INDEX(CustomerDetails!$A$1:$C$469,CustomerDetails!$P444,COLUMNS($Q458:Q458)),"")</f>
        <v/>
      </c>
      <c r="R458" s="78" t="str">
        <f>IFERROR(INDEX(CustomerDetails!$A$1:$C$469,CustomerDetails!$P444,COLUMNS($Q458:R458)),"")</f>
        <v/>
      </c>
      <c r="S458" s="78" t="str">
        <f>IFERROR(INDEX(CustomerDetails!$A$1:$C$469,CustomerDetails!$P444,COLUMNS($Q458:S458)),"")</f>
        <v/>
      </c>
    </row>
    <row r="459" spans="1:19" x14ac:dyDescent="0.3">
      <c r="A459" s="79"/>
      <c r="B459" s="79"/>
      <c r="Q459" s="78" t="str">
        <f>IFERROR(INDEX(CustomerDetails!$A$1:$C$469,CustomerDetails!$P445,COLUMNS($Q459:Q459)),"")</f>
        <v/>
      </c>
      <c r="R459" s="78" t="str">
        <f>IFERROR(INDEX(CustomerDetails!$A$1:$C$469,CustomerDetails!$P445,COLUMNS($Q459:R459)),"")</f>
        <v/>
      </c>
      <c r="S459" s="78" t="str">
        <f>IFERROR(INDEX(CustomerDetails!$A$1:$C$469,CustomerDetails!$P445,COLUMNS($Q459:S459)),"")</f>
        <v/>
      </c>
    </row>
    <row r="460" spans="1:19" x14ac:dyDescent="0.3">
      <c r="A460" s="79"/>
      <c r="B460" s="79"/>
      <c r="Q460" s="78" t="str">
        <f>IFERROR(INDEX(CustomerDetails!$A$1:$C$469,CustomerDetails!$P446,COLUMNS($Q460:Q460)),"")</f>
        <v/>
      </c>
      <c r="R460" s="78" t="str">
        <f>IFERROR(INDEX(CustomerDetails!$A$1:$C$469,CustomerDetails!$P446,COLUMNS($Q460:R460)),"")</f>
        <v/>
      </c>
      <c r="S460" s="78" t="str">
        <f>IFERROR(INDEX(CustomerDetails!$A$1:$C$469,CustomerDetails!$P446,COLUMNS($Q460:S460)),"")</f>
        <v/>
      </c>
    </row>
    <row r="461" spans="1:19" x14ac:dyDescent="0.3">
      <c r="A461" s="79"/>
      <c r="B461" s="79"/>
      <c r="Q461" s="78" t="str">
        <f>IFERROR(INDEX(CustomerDetails!$A$1:$C$469,CustomerDetails!$P447,COLUMNS($Q461:Q461)),"")</f>
        <v/>
      </c>
      <c r="R461" s="78" t="str">
        <f>IFERROR(INDEX(CustomerDetails!$A$1:$C$469,CustomerDetails!$P447,COLUMNS($Q461:R461)),"")</f>
        <v/>
      </c>
      <c r="S461" s="78" t="str">
        <f>IFERROR(INDEX(CustomerDetails!$A$1:$C$469,CustomerDetails!$P447,COLUMNS($Q461:S461)),"")</f>
        <v/>
      </c>
    </row>
    <row r="462" spans="1:19" x14ac:dyDescent="0.3">
      <c r="A462" s="79"/>
      <c r="B462" s="79"/>
      <c r="Q462" s="78" t="str">
        <f>IFERROR(INDEX(CustomerDetails!$A$1:$C$469,CustomerDetails!$P448,COLUMNS($Q462:Q462)),"")</f>
        <v/>
      </c>
      <c r="R462" s="78" t="str">
        <f>IFERROR(INDEX(CustomerDetails!$A$1:$C$469,CustomerDetails!$P448,COLUMNS($Q462:R462)),"")</f>
        <v/>
      </c>
      <c r="S462" s="78" t="str">
        <f>IFERROR(INDEX(CustomerDetails!$A$1:$C$469,CustomerDetails!$P448,COLUMNS($Q462:S462)),"")</f>
        <v/>
      </c>
    </row>
    <row r="463" spans="1:19" x14ac:dyDescent="0.3">
      <c r="A463" s="79"/>
      <c r="B463" s="79"/>
      <c r="Q463" s="78" t="str">
        <f>IFERROR(INDEX(CustomerDetails!$A$1:$C$469,CustomerDetails!$P449,COLUMNS($Q463:Q463)),"")</f>
        <v/>
      </c>
      <c r="R463" s="78" t="str">
        <f>IFERROR(INDEX(CustomerDetails!$A$1:$C$469,CustomerDetails!$P449,COLUMNS($Q463:R463)),"")</f>
        <v/>
      </c>
      <c r="S463" s="78" t="str">
        <f>IFERROR(INDEX(CustomerDetails!$A$1:$C$469,CustomerDetails!$P449,COLUMNS($Q463:S463)),"")</f>
        <v/>
      </c>
    </row>
    <row r="464" spans="1:19" x14ac:dyDescent="0.3">
      <c r="A464" s="79"/>
      <c r="B464" s="79"/>
      <c r="Q464" s="78" t="str">
        <f>IFERROR(INDEX(CustomerDetails!$A$1:$C$469,CustomerDetails!$P450,COLUMNS($Q464:Q464)),"")</f>
        <v/>
      </c>
      <c r="R464" s="78" t="str">
        <f>IFERROR(INDEX(CustomerDetails!$A$1:$C$469,CustomerDetails!$P450,COLUMNS($Q464:R464)),"")</f>
        <v/>
      </c>
      <c r="S464" s="78" t="str">
        <f>IFERROR(INDEX(CustomerDetails!$A$1:$C$469,CustomerDetails!$P450,COLUMNS($Q464:S464)),"")</f>
        <v/>
      </c>
    </row>
    <row r="465" spans="1:19" x14ac:dyDescent="0.3">
      <c r="A465" s="79"/>
      <c r="B465" s="79"/>
      <c r="Q465" s="78" t="str">
        <f>IFERROR(INDEX(CustomerDetails!$A$1:$C$469,CustomerDetails!$P451,COLUMNS($Q465:Q465)),"")</f>
        <v/>
      </c>
      <c r="R465" s="78" t="str">
        <f>IFERROR(INDEX(CustomerDetails!$A$1:$C$469,CustomerDetails!$P451,COLUMNS($Q465:R465)),"")</f>
        <v/>
      </c>
      <c r="S465" s="78" t="str">
        <f>IFERROR(INDEX(CustomerDetails!$A$1:$C$469,CustomerDetails!$P451,COLUMNS($Q465:S465)),"")</f>
        <v/>
      </c>
    </row>
    <row r="466" spans="1:19" x14ac:dyDescent="0.3">
      <c r="A466" s="79"/>
      <c r="B466" s="79"/>
      <c r="Q466" s="78" t="str">
        <f>IFERROR(INDEX(CustomerDetails!$A$1:$C$469,CustomerDetails!$P452,COLUMNS($Q466:Q466)),"")</f>
        <v/>
      </c>
      <c r="R466" s="78" t="str">
        <f>IFERROR(INDEX(CustomerDetails!$A$1:$C$469,CustomerDetails!$P452,COLUMNS($Q466:R466)),"")</f>
        <v/>
      </c>
      <c r="S466" s="78" t="str">
        <f>IFERROR(INDEX(CustomerDetails!$A$1:$C$469,CustomerDetails!$P452,COLUMNS($Q466:S466)),"")</f>
        <v/>
      </c>
    </row>
    <row r="467" spans="1:19" x14ac:dyDescent="0.3">
      <c r="A467" s="79"/>
      <c r="B467" s="79"/>
      <c r="Q467" s="78" t="str">
        <f>IFERROR(INDEX(CustomerDetails!$A$1:$C$469,CustomerDetails!$P453,COLUMNS($Q467:Q467)),"")</f>
        <v/>
      </c>
      <c r="R467" s="78" t="str">
        <f>IFERROR(INDEX(CustomerDetails!$A$1:$C$469,CustomerDetails!$P453,COLUMNS($Q467:R467)),"")</f>
        <v/>
      </c>
      <c r="S467" s="78" t="str">
        <f>IFERROR(INDEX(CustomerDetails!$A$1:$C$469,CustomerDetails!$P453,COLUMNS($Q467:S467)),"")</f>
        <v/>
      </c>
    </row>
    <row r="468" spans="1:19" x14ac:dyDescent="0.3">
      <c r="A468" s="79"/>
      <c r="B468" s="79"/>
      <c r="Q468" s="78" t="str">
        <f>IFERROR(INDEX(CustomerDetails!$A$1:$C$469,CustomerDetails!$P454,COLUMNS($Q468:Q468)),"")</f>
        <v/>
      </c>
      <c r="R468" s="78" t="str">
        <f>IFERROR(INDEX(CustomerDetails!$A$1:$C$469,CustomerDetails!$P454,COLUMNS($Q468:R468)),"")</f>
        <v/>
      </c>
      <c r="S468" s="78" t="str">
        <f>IFERROR(INDEX(CustomerDetails!$A$1:$C$469,CustomerDetails!$P454,COLUMNS($Q468:S468)),"")</f>
        <v/>
      </c>
    </row>
    <row r="469" spans="1:19" x14ac:dyDescent="0.3">
      <c r="A469" s="79"/>
      <c r="B469" s="79"/>
      <c r="Q469" s="78" t="str">
        <f>IFERROR(INDEX(CustomerDetails!$A$1:$C$469,CustomerDetails!$P455,COLUMNS($Q469:Q469)),"")</f>
        <v/>
      </c>
      <c r="R469" s="78" t="str">
        <f>IFERROR(INDEX(CustomerDetails!$A$1:$C$469,CustomerDetails!$P455,COLUMNS($Q469:R469)),"")</f>
        <v/>
      </c>
      <c r="S469" s="78" t="str">
        <f>IFERROR(INDEX(CustomerDetails!$A$1:$C$469,CustomerDetails!$P455,COLUMNS($Q469:S469)),"")</f>
        <v/>
      </c>
    </row>
    <row r="470" spans="1:19" x14ac:dyDescent="0.3">
      <c r="A470" s="79"/>
      <c r="B470" s="79"/>
      <c r="Q470" s="78" t="str">
        <f>IFERROR(INDEX(CustomerDetails!$A$1:$C$469,CustomerDetails!$P456,COLUMNS($Q470:Q470)),"")</f>
        <v/>
      </c>
      <c r="R470" s="78" t="str">
        <f>IFERROR(INDEX(CustomerDetails!$A$1:$C$469,CustomerDetails!$P456,COLUMNS($Q470:R470)),"")</f>
        <v/>
      </c>
      <c r="S470" s="78" t="str">
        <f>IFERROR(INDEX(CustomerDetails!$A$1:$C$469,CustomerDetails!$P456,COLUMNS($Q470:S470)),"")</f>
        <v/>
      </c>
    </row>
    <row r="471" spans="1:19" x14ac:dyDescent="0.3">
      <c r="A471" s="79"/>
      <c r="B471" s="79"/>
      <c r="Q471" s="78" t="str">
        <f>IFERROR(INDEX(CustomerDetails!$A$1:$C$469,CustomerDetails!$P457,COLUMNS($Q471:Q471)),"")</f>
        <v/>
      </c>
      <c r="R471" s="78" t="str">
        <f>IFERROR(INDEX(CustomerDetails!$A$1:$C$469,CustomerDetails!$P457,COLUMNS($Q471:R471)),"")</f>
        <v/>
      </c>
      <c r="S471" s="78" t="str">
        <f>IFERROR(INDEX(CustomerDetails!$A$1:$C$469,CustomerDetails!$P457,COLUMNS($Q471:S471)),"")</f>
        <v/>
      </c>
    </row>
    <row r="472" spans="1:19" x14ac:dyDescent="0.3">
      <c r="A472" s="79"/>
      <c r="B472" s="79"/>
      <c r="Q472" s="78" t="str">
        <f>IFERROR(INDEX(CustomerDetails!$A$1:$C$469,CustomerDetails!$P458,COLUMNS($Q472:Q472)),"")</f>
        <v/>
      </c>
      <c r="R472" s="78" t="str">
        <f>IFERROR(INDEX(CustomerDetails!$A$1:$C$469,CustomerDetails!$P458,COLUMNS($Q472:R472)),"")</f>
        <v/>
      </c>
      <c r="S472" s="78" t="str">
        <f>IFERROR(INDEX(CustomerDetails!$A$1:$C$469,CustomerDetails!$P458,COLUMNS($Q472:S472)),"")</f>
        <v/>
      </c>
    </row>
    <row r="473" spans="1:19" x14ac:dyDescent="0.3">
      <c r="A473" s="79"/>
      <c r="B473" s="79"/>
      <c r="Q473" s="78" t="str">
        <f>IFERROR(INDEX(CustomerDetails!$A$1:$C$469,CustomerDetails!$P459,COLUMNS($Q473:Q473)),"")</f>
        <v/>
      </c>
      <c r="R473" s="78" t="str">
        <f>IFERROR(INDEX(CustomerDetails!$A$1:$C$469,CustomerDetails!$P459,COLUMNS($Q473:R473)),"")</f>
        <v/>
      </c>
      <c r="S473" s="78" t="str">
        <f>IFERROR(INDEX(CustomerDetails!$A$1:$C$469,CustomerDetails!$P459,COLUMNS($Q473:S473)),"")</f>
        <v/>
      </c>
    </row>
    <row r="474" spans="1:19" x14ac:dyDescent="0.3">
      <c r="A474" s="79"/>
      <c r="B474" s="79"/>
      <c r="Q474" s="78" t="str">
        <f>IFERROR(INDEX(CustomerDetails!$A$1:$C$469,CustomerDetails!$P460,COLUMNS($Q474:Q474)),"")</f>
        <v/>
      </c>
      <c r="R474" s="78" t="str">
        <f>IFERROR(INDEX(CustomerDetails!$A$1:$C$469,CustomerDetails!$P460,COLUMNS($Q474:R474)),"")</f>
        <v/>
      </c>
      <c r="S474" s="78" t="str">
        <f>IFERROR(INDEX(CustomerDetails!$A$1:$C$469,CustomerDetails!$P460,COLUMNS($Q474:S474)),"")</f>
        <v/>
      </c>
    </row>
    <row r="475" spans="1:19" x14ac:dyDescent="0.3">
      <c r="A475" s="79"/>
      <c r="B475" s="79"/>
      <c r="Q475" s="78" t="str">
        <f>IFERROR(INDEX(CustomerDetails!$A$1:$C$469,CustomerDetails!$P461,COLUMNS($Q475:Q475)),"")</f>
        <v/>
      </c>
      <c r="R475" s="78" t="str">
        <f>IFERROR(INDEX(CustomerDetails!$A$1:$C$469,CustomerDetails!$P461,COLUMNS($Q475:R475)),"")</f>
        <v/>
      </c>
      <c r="S475" s="78" t="str">
        <f>IFERROR(INDEX(CustomerDetails!$A$1:$C$469,CustomerDetails!$P461,COLUMNS($Q475:S475)),"")</f>
        <v/>
      </c>
    </row>
    <row r="476" spans="1:19" x14ac:dyDescent="0.3">
      <c r="A476" s="79"/>
      <c r="B476" s="79"/>
      <c r="Q476" s="78" t="str">
        <f>IFERROR(INDEX(CustomerDetails!$A$1:$C$469,CustomerDetails!$P462,COLUMNS($Q476:Q476)),"")</f>
        <v/>
      </c>
      <c r="R476" s="78" t="str">
        <f>IFERROR(INDEX(CustomerDetails!$A$1:$C$469,CustomerDetails!$P462,COLUMNS($Q476:R476)),"")</f>
        <v/>
      </c>
      <c r="S476" s="78" t="str">
        <f>IFERROR(INDEX(CustomerDetails!$A$1:$C$469,CustomerDetails!$P462,COLUMNS($Q476:S476)),"")</f>
        <v/>
      </c>
    </row>
    <row r="477" spans="1:19" x14ac:dyDescent="0.3">
      <c r="A477" s="79"/>
      <c r="B477" s="79"/>
      <c r="Q477" s="78" t="str">
        <f>IFERROR(INDEX(CustomerDetails!$A$1:$C$469,CustomerDetails!$P463,COLUMNS($Q477:Q477)),"")</f>
        <v/>
      </c>
      <c r="R477" s="78" t="str">
        <f>IFERROR(INDEX(CustomerDetails!$A$1:$C$469,CustomerDetails!$P463,COLUMNS($Q477:R477)),"")</f>
        <v/>
      </c>
      <c r="S477" s="78" t="str">
        <f>IFERROR(INDEX(CustomerDetails!$A$1:$C$469,CustomerDetails!$P463,COLUMNS($Q477:S477)),"")</f>
        <v/>
      </c>
    </row>
    <row r="478" spans="1:19" x14ac:dyDescent="0.3">
      <c r="A478" s="79"/>
      <c r="B478" s="79"/>
      <c r="Q478" s="78" t="str">
        <f>IFERROR(INDEX(CustomerDetails!$A$1:$C$469,CustomerDetails!$P464,COLUMNS($Q478:Q478)),"")</f>
        <v/>
      </c>
      <c r="R478" s="78" t="str">
        <f>IFERROR(INDEX(CustomerDetails!$A$1:$C$469,CustomerDetails!$P464,COLUMNS($Q478:R478)),"")</f>
        <v/>
      </c>
      <c r="S478" s="78" t="str">
        <f>IFERROR(INDEX(CustomerDetails!$A$1:$C$469,CustomerDetails!$P464,COLUMNS($Q478:S478)),"")</f>
        <v/>
      </c>
    </row>
    <row r="479" spans="1:19" x14ac:dyDescent="0.3">
      <c r="A479" s="79"/>
      <c r="B479" s="79"/>
      <c r="Q479" s="78" t="str">
        <f>IFERROR(INDEX(CustomerDetails!$A$1:$C$469,CustomerDetails!$P465,COLUMNS($Q479:Q479)),"")</f>
        <v/>
      </c>
      <c r="R479" s="78" t="str">
        <f>IFERROR(INDEX(CustomerDetails!$A$1:$C$469,CustomerDetails!$P465,COLUMNS($Q479:R479)),"")</f>
        <v/>
      </c>
      <c r="S479" s="78" t="str">
        <f>IFERROR(INDEX(CustomerDetails!$A$1:$C$469,CustomerDetails!$P465,COLUMNS($Q479:S479)),"")</f>
        <v/>
      </c>
    </row>
    <row r="480" spans="1:19" x14ac:dyDescent="0.3">
      <c r="A480" s="79"/>
      <c r="B480" s="79"/>
      <c r="Q480" s="78" t="str">
        <f>IFERROR(INDEX(CustomerDetails!$A$1:$C$469,CustomerDetails!$P466,COLUMNS($Q480:Q480)),"")</f>
        <v/>
      </c>
      <c r="R480" s="78" t="str">
        <f>IFERROR(INDEX(CustomerDetails!$A$1:$C$469,CustomerDetails!$P466,COLUMNS($Q480:R480)),"")</f>
        <v/>
      </c>
      <c r="S480" s="78" t="str">
        <f>IFERROR(INDEX(CustomerDetails!$A$1:$C$469,CustomerDetails!$P466,COLUMNS($Q480:S480)),"")</f>
        <v/>
      </c>
    </row>
    <row r="481" spans="1:19" x14ac:dyDescent="0.3">
      <c r="A481" s="79"/>
      <c r="B481" s="79"/>
      <c r="Q481" s="78" t="str">
        <f>IFERROR(INDEX(CustomerDetails!$A$1:$C$469,CustomerDetails!$P467,COLUMNS($Q481:Q481)),"")</f>
        <v/>
      </c>
      <c r="R481" s="78" t="str">
        <f>IFERROR(INDEX(CustomerDetails!$A$1:$C$469,CustomerDetails!$P467,COLUMNS($Q481:R481)),"")</f>
        <v/>
      </c>
      <c r="S481" s="78" t="str">
        <f>IFERROR(INDEX(CustomerDetails!$A$1:$C$469,CustomerDetails!$P467,COLUMNS($Q481:S481)),"")</f>
        <v/>
      </c>
    </row>
    <row r="482" spans="1:19" x14ac:dyDescent="0.3">
      <c r="A482" s="79"/>
      <c r="B482" s="79"/>
      <c r="Q482" s="78" t="str">
        <f>IFERROR(INDEX(CustomerDetails!$A$1:$C$469,CustomerDetails!$P468,COLUMNS($Q482:Q482)),"")</f>
        <v/>
      </c>
      <c r="R482" s="78" t="str">
        <f>IFERROR(INDEX(CustomerDetails!$A$1:$C$469,CustomerDetails!$P468,COLUMNS($Q482:R482)),"")</f>
        <v/>
      </c>
      <c r="S482" s="78" t="str">
        <f>IFERROR(INDEX(CustomerDetails!$A$1:$C$469,CustomerDetails!$P468,COLUMNS($Q482:S482)),"")</f>
        <v/>
      </c>
    </row>
    <row r="483" spans="1:19" x14ac:dyDescent="0.3">
      <c r="A483" s="79"/>
      <c r="B483" s="79"/>
      <c r="Q483" s="78" t="str">
        <f>IFERROR(INDEX(CustomerDetails!$A$1:$C$469,CustomerDetails!$P469,COLUMNS($Q483:Q483)),"")</f>
        <v/>
      </c>
      <c r="R483" s="78" t="str">
        <f>IFERROR(INDEX(CustomerDetails!$A$1:$C$469,CustomerDetails!$P469,COLUMNS($Q483:R483)),"")</f>
        <v/>
      </c>
      <c r="S483" s="78" t="str">
        <f>IFERROR(INDEX(CustomerDetails!$A$1:$C$469,CustomerDetails!$P469,COLUMNS($Q483:S483)),"")</f>
        <v/>
      </c>
    </row>
    <row r="484" spans="1:19" x14ac:dyDescent="0.3">
      <c r="A484" s="79"/>
      <c r="B484" s="79"/>
      <c r="Q484" s="78" t="str">
        <f>IFERROR(INDEX(CustomerDetails!$A$1:$C$469,CustomerDetails!$P470,COLUMNS($Q484:Q484)),"")</f>
        <v/>
      </c>
      <c r="R484" s="78" t="str">
        <f>IFERROR(INDEX(CustomerDetails!$A$1:$C$469,CustomerDetails!$P470,COLUMNS($Q484:R484)),"")</f>
        <v/>
      </c>
      <c r="S484" s="78" t="str">
        <f>IFERROR(INDEX(CustomerDetails!$A$1:$C$469,CustomerDetails!$P470,COLUMNS($Q484:S484)),"")</f>
        <v/>
      </c>
    </row>
    <row r="485" spans="1:19" x14ac:dyDescent="0.3">
      <c r="A485" s="79"/>
      <c r="B485" s="79"/>
      <c r="Q485" s="78" t="str">
        <f>IFERROR(INDEX(CustomerDetails!$A$1:$C$469,CustomerDetails!$P471,COLUMNS($Q485:Q485)),"")</f>
        <v/>
      </c>
      <c r="R485" s="78" t="str">
        <f>IFERROR(INDEX(CustomerDetails!$A$1:$C$469,CustomerDetails!$P471,COLUMNS($Q485:R485)),"")</f>
        <v/>
      </c>
      <c r="S485" s="78" t="str">
        <f>IFERROR(INDEX(CustomerDetails!$A$1:$C$469,CustomerDetails!$P471,COLUMNS($Q485:S485)),"")</f>
        <v/>
      </c>
    </row>
    <row r="486" spans="1:19" x14ac:dyDescent="0.3">
      <c r="A486" s="79"/>
      <c r="B486" s="79"/>
      <c r="Q486" s="78" t="str">
        <f>IFERROR(INDEX(CustomerDetails!$A$1:$C$469,CustomerDetails!$P472,COLUMNS($Q486:Q486)),"")</f>
        <v/>
      </c>
      <c r="R486" s="78" t="str">
        <f>IFERROR(INDEX(CustomerDetails!$A$1:$C$469,CustomerDetails!$P472,COLUMNS($Q486:R486)),"")</f>
        <v/>
      </c>
      <c r="S486" s="78" t="str">
        <f>IFERROR(INDEX(CustomerDetails!$A$1:$C$469,CustomerDetails!$P472,COLUMNS($Q486:S486)),"")</f>
        <v/>
      </c>
    </row>
    <row r="487" spans="1:19" x14ac:dyDescent="0.3">
      <c r="A487" s="79"/>
      <c r="B487" s="79"/>
      <c r="Q487" s="78" t="str">
        <f>IFERROR(INDEX(CustomerDetails!$A$1:$C$469,CustomerDetails!$P473,COLUMNS($Q487:Q487)),"")</f>
        <v/>
      </c>
      <c r="R487" s="78" t="str">
        <f>IFERROR(INDEX(CustomerDetails!$A$1:$C$469,CustomerDetails!$P473,COLUMNS($Q487:R487)),"")</f>
        <v/>
      </c>
      <c r="S487" s="78" t="str">
        <f>IFERROR(INDEX(CustomerDetails!$A$1:$C$469,CustomerDetails!$P473,COLUMNS($Q487:S487)),"")</f>
        <v/>
      </c>
    </row>
    <row r="488" spans="1:19" x14ac:dyDescent="0.3">
      <c r="A488" s="79"/>
      <c r="B488" s="79"/>
      <c r="Q488" s="78" t="str">
        <f>IFERROR(INDEX(CustomerDetails!$A$1:$C$469,CustomerDetails!$P474,COLUMNS($Q488:Q488)),"")</f>
        <v/>
      </c>
      <c r="R488" s="78" t="str">
        <f>IFERROR(INDEX(CustomerDetails!$A$1:$C$469,CustomerDetails!$P474,COLUMNS($Q488:R488)),"")</f>
        <v/>
      </c>
      <c r="S488" s="78" t="str">
        <f>IFERROR(INDEX(CustomerDetails!$A$1:$C$469,CustomerDetails!$P474,COLUMNS($Q488:S488)),"")</f>
        <v/>
      </c>
    </row>
    <row r="489" spans="1:19" x14ac:dyDescent="0.3">
      <c r="A489" s="79"/>
      <c r="B489" s="79"/>
      <c r="Q489" s="78" t="str">
        <f>IFERROR(INDEX(CustomerDetails!$A$1:$C$469,CustomerDetails!$P475,COLUMNS($Q489:Q489)),"")</f>
        <v/>
      </c>
      <c r="R489" s="78" t="str">
        <f>IFERROR(INDEX(CustomerDetails!$A$1:$C$469,CustomerDetails!$P475,COLUMNS($Q489:R489)),"")</f>
        <v/>
      </c>
      <c r="S489" s="78" t="str">
        <f>IFERROR(INDEX(CustomerDetails!$A$1:$C$469,CustomerDetails!$P475,COLUMNS($Q489:S489)),"")</f>
        <v/>
      </c>
    </row>
    <row r="490" spans="1:19" x14ac:dyDescent="0.3">
      <c r="A490" s="79"/>
      <c r="B490" s="79"/>
      <c r="Q490" s="78" t="str">
        <f>IFERROR(INDEX(CustomerDetails!$A$1:$C$469,CustomerDetails!$P476,COLUMNS($Q490:Q490)),"")</f>
        <v/>
      </c>
      <c r="R490" s="78" t="str">
        <f>IFERROR(INDEX(CustomerDetails!$A$1:$C$469,CustomerDetails!$P476,COLUMNS($Q490:R490)),"")</f>
        <v/>
      </c>
      <c r="S490" s="78" t="str">
        <f>IFERROR(INDEX(CustomerDetails!$A$1:$C$469,CustomerDetails!$P476,COLUMNS($Q490:S490)),"")</f>
        <v/>
      </c>
    </row>
    <row r="491" spans="1:19" x14ac:dyDescent="0.3">
      <c r="A491" s="79"/>
      <c r="B491" s="79"/>
      <c r="Q491" s="78" t="str">
        <f>IFERROR(INDEX(CustomerDetails!$A$1:$C$469,CustomerDetails!$P477,COLUMNS($Q491:Q491)),"")</f>
        <v/>
      </c>
      <c r="R491" s="78" t="str">
        <f>IFERROR(INDEX(CustomerDetails!$A$1:$C$469,CustomerDetails!$P477,COLUMNS($Q491:R491)),"")</f>
        <v/>
      </c>
      <c r="S491" s="78" t="str">
        <f>IFERROR(INDEX(CustomerDetails!$A$1:$C$469,CustomerDetails!$P477,COLUMNS($Q491:S491)),"")</f>
        <v/>
      </c>
    </row>
    <row r="492" spans="1:19" x14ac:dyDescent="0.3">
      <c r="A492" s="79"/>
      <c r="B492" s="79"/>
      <c r="Q492" s="78" t="str">
        <f>IFERROR(INDEX(CustomerDetails!$A$1:$C$469,CustomerDetails!$P478,COLUMNS($Q492:Q492)),"")</f>
        <v/>
      </c>
      <c r="R492" s="78" t="str">
        <f>IFERROR(INDEX(CustomerDetails!$A$1:$C$469,CustomerDetails!$P478,COLUMNS($Q492:R492)),"")</f>
        <v/>
      </c>
      <c r="S492" s="78" t="str">
        <f>IFERROR(INDEX(CustomerDetails!$A$1:$C$469,CustomerDetails!$P478,COLUMNS($Q492:S492)),"")</f>
        <v/>
      </c>
    </row>
    <row r="493" spans="1:19" x14ac:dyDescent="0.3">
      <c r="A493" s="79"/>
      <c r="B493" s="79"/>
      <c r="Q493" s="78" t="str">
        <f>IFERROR(INDEX(CustomerDetails!$A$1:$C$469,CustomerDetails!$P479,COLUMNS($Q493:Q493)),"")</f>
        <v/>
      </c>
      <c r="R493" s="78" t="str">
        <f>IFERROR(INDEX(CustomerDetails!$A$1:$C$469,CustomerDetails!$P479,COLUMNS($Q493:R493)),"")</f>
        <v/>
      </c>
      <c r="S493" s="78" t="str">
        <f>IFERROR(INDEX(CustomerDetails!$A$1:$C$469,CustomerDetails!$P479,COLUMNS($Q493:S493)),"")</f>
        <v/>
      </c>
    </row>
    <row r="494" spans="1:19" x14ac:dyDescent="0.3">
      <c r="A494" s="79"/>
      <c r="B494" s="79"/>
      <c r="Q494" s="78" t="str">
        <f>IFERROR(INDEX(CustomerDetails!$A$1:$C$469,CustomerDetails!$P480,COLUMNS($Q494:Q494)),"")</f>
        <v/>
      </c>
      <c r="R494" s="78" t="str">
        <f>IFERROR(INDEX(CustomerDetails!$A$1:$C$469,CustomerDetails!$P480,COLUMNS($Q494:R494)),"")</f>
        <v/>
      </c>
      <c r="S494" s="78" t="str">
        <f>IFERROR(INDEX(CustomerDetails!$A$1:$C$469,CustomerDetails!$P480,COLUMNS($Q494:S494)),"")</f>
        <v/>
      </c>
    </row>
    <row r="495" spans="1:19" x14ac:dyDescent="0.3">
      <c r="A495" s="79"/>
      <c r="B495" s="79"/>
      <c r="Q495" s="78" t="str">
        <f>IFERROR(INDEX(CustomerDetails!$A$1:$C$469,CustomerDetails!$P481,COLUMNS($Q495:Q495)),"")</f>
        <v/>
      </c>
      <c r="R495" s="78" t="str">
        <f>IFERROR(INDEX(CustomerDetails!$A$1:$C$469,CustomerDetails!$P481,COLUMNS($Q495:R495)),"")</f>
        <v/>
      </c>
      <c r="S495" s="78" t="str">
        <f>IFERROR(INDEX(CustomerDetails!$A$1:$C$469,CustomerDetails!$P481,COLUMNS($Q495:S495)),"")</f>
        <v/>
      </c>
    </row>
    <row r="496" spans="1:19" x14ac:dyDescent="0.3">
      <c r="A496" s="79"/>
      <c r="B496" s="79"/>
      <c r="Q496" s="78" t="str">
        <f>IFERROR(INDEX(CustomerDetails!$A$1:$C$469,CustomerDetails!$P482,COLUMNS($Q496:Q496)),"")</f>
        <v/>
      </c>
      <c r="R496" s="78" t="str">
        <f>IFERROR(INDEX(CustomerDetails!$A$1:$C$469,CustomerDetails!$P482,COLUMNS($Q496:R496)),"")</f>
        <v/>
      </c>
      <c r="S496" s="78" t="str">
        <f>IFERROR(INDEX(CustomerDetails!$A$1:$C$469,CustomerDetails!$P482,COLUMNS($Q496:S496)),"")</f>
        <v/>
      </c>
    </row>
    <row r="497" spans="1:19" x14ac:dyDescent="0.3">
      <c r="A497" s="79"/>
      <c r="B497" s="79"/>
      <c r="Q497" s="78" t="str">
        <f>IFERROR(INDEX(CustomerDetails!$A$1:$C$469,CustomerDetails!$P483,COLUMNS($Q497:Q497)),"")</f>
        <v/>
      </c>
      <c r="R497" s="78" t="str">
        <f>IFERROR(INDEX(CustomerDetails!$A$1:$C$469,CustomerDetails!$P483,COLUMNS($Q497:R497)),"")</f>
        <v/>
      </c>
      <c r="S497" s="78" t="str">
        <f>IFERROR(INDEX(CustomerDetails!$A$1:$C$469,CustomerDetails!$P483,COLUMNS($Q497:S497)),"")</f>
        <v/>
      </c>
    </row>
    <row r="498" spans="1:19" x14ac:dyDescent="0.3">
      <c r="A498" s="79"/>
      <c r="B498" s="79"/>
      <c r="Q498" s="78" t="str">
        <f>IFERROR(INDEX(CustomerDetails!$A$1:$C$469,CustomerDetails!$P484,COLUMNS($Q498:Q498)),"")</f>
        <v/>
      </c>
      <c r="R498" s="78" t="str">
        <f>IFERROR(INDEX(CustomerDetails!$A$1:$C$469,CustomerDetails!$P484,COLUMNS($Q498:R498)),"")</f>
        <v/>
      </c>
      <c r="S498" s="78" t="str">
        <f>IFERROR(INDEX(CustomerDetails!$A$1:$C$469,CustomerDetails!$P484,COLUMNS($Q498:S498)),"")</f>
        <v/>
      </c>
    </row>
    <row r="499" spans="1:19" x14ac:dyDescent="0.3">
      <c r="A499" s="79"/>
      <c r="B499" s="79"/>
      <c r="Q499" s="78" t="str">
        <f>IFERROR(INDEX(CustomerDetails!$A$1:$C$469,CustomerDetails!$P485,COLUMNS($Q499:Q499)),"")</f>
        <v/>
      </c>
      <c r="R499" s="78" t="str">
        <f>IFERROR(INDEX(CustomerDetails!$A$1:$C$469,CustomerDetails!$P485,COLUMNS($Q499:R499)),"")</f>
        <v/>
      </c>
      <c r="S499" s="78" t="str">
        <f>IFERROR(INDEX(CustomerDetails!$A$1:$C$469,CustomerDetails!$P485,COLUMNS($Q499:S499)),"")</f>
        <v/>
      </c>
    </row>
    <row r="500" spans="1:19" x14ac:dyDescent="0.3">
      <c r="A500" s="79"/>
      <c r="B500" s="79"/>
      <c r="Q500" s="78" t="str">
        <f>IFERROR(INDEX(CustomerDetails!$A$1:$C$469,CustomerDetails!$P486,COLUMNS($Q500:Q500)),"")</f>
        <v/>
      </c>
      <c r="R500" s="78" t="str">
        <f>IFERROR(INDEX(CustomerDetails!$A$1:$C$469,CustomerDetails!$P486,COLUMNS($Q500:R500)),"")</f>
        <v/>
      </c>
      <c r="S500" s="78" t="str">
        <f>IFERROR(INDEX(CustomerDetails!$A$1:$C$469,CustomerDetails!$P486,COLUMNS($Q500:S500)),"")</f>
        <v/>
      </c>
    </row>
    <row r="501" spans="1:19" x14ac:dyDescent="0.3">
      <c r="A501" s="79"/>
      <c r="B501" s="79"/>
      <c r="Q501" s="78" t="str">
        <f>IFERROR(INDEX(CustomerDetails!$A$1:$C$469,CustomerDetails!$P487,COLUMNS($Q501:Q501)),"")</f>
        <v/>
      </c>
      <c r="R501" s="78" t="str">
        <f>IFERROR(INDEX(CustomerDetails!$A$1:$C$469,CustomerDetails!$P487,COLUMNS($Q501:R501)),"")</f>
        <v/>
      </c>
      <c r="S501" s="78" t="str">
        <f>IFERROR(INDEX(CustomerDetails!$A$1:$C$469,CustomerDetails!$P487,COLUMNS($Q501:S501)),"")</f>
        <v/>
      </c>
    </row>
    <row r="502" spans="1:19" x14ac:dyDescent="0.3">
      <c r="A502" s="79"/>
      <c r="B502" s="79"/>
      <c r="Q502" s="78" t="str">
        <f>IFERROR(INDEX(CustomerDetails!$A$1:$C$469,CustomerDetails!$P488,COLUMNS($Q502:Q502)),"")</f>
        <v/>
      </c>
      <c r="R502" s="78" t="str">
        <f>IFERROR(INDEX(CustomerDetails!$A$1:$C$469,CustomerDetails!$P488,COLUMNS($Q502:R502)),"")</f>
        <v/>
      </c>
      <c r="S502" s="78" t="str">
        <f>IFERROR(INDEX(CustomerDetails!$A$1:$C$469,CustomerDetails!$P488,COLUMNS($Q502:S502)),"")</f>
        <v/>
      </c>
    </row>
    <row r="503" spans="1:19" x14ac:dyDescent="0.3">
      <c r="A503" s="79"/>
      <c r="B503" s="79"/>
      <c r="Q503" s="78" t="str">
        <f>IFERROR(INDEX(CustomerDetails!$A$1:$C$469,CustomerDetails!$P489,COLUMNS($Q503:Q503)),"")</f>
        <v/>
      </c>
      <c r="R503" s="78" t="str">
        <f>IFERROR(INDEX(CustomerDetails!$A$1:$C$469,CustomerDetails!$P489,COLUMNS($Q503:R503)),"")</f>
        <v/>
      </c>
      <c r="S503" s="78" t="str">
        <f>IFERROR(INDEX(CustomerDetails!$A$1:$C$469,CustomerDetails!$P489,COLUMNS($Q503:S503)),"")</f>
        <v/>
      </c>
    </row>
    <row r="504" spans="1:19" x14ac:dyDescent="0.3">
      <c r="A504" s="79"/>
      <c r="B504" s="79"/>
      <c r="Q504" s="78" t="str">
        <f>IFERROR(INDEX(CustomerDetails!$A$1:$C$469,CustomerDetails!$P490,COLUMNS($Q504:Q504)),"")</f>
        <v/>
      </c>
      <c r="R504" s="78" t="str">
        <f>IFERROR(INDEX(CustomerDetails!$A$1:$C$469,CustomerDetails!$P490,COLUMNS($Q504:R504)),"")</f>
        <v/>
      </c>
      <c r="S504" s="78" t="str">
        <f>IFERROR(INDEX(CustomerDetails!$A$1:$C$469,CustomerDetails!$P490,COLUMNS($Q504:S504)),"")</f>
        <v/>
      </c>
    </row>
    <row r="505" spans="1:19" x14ac:dyDescent="0.3">
      <c r="A505" s="79"/>
      <c r="B505" s="79"/>
      <c r="Q505" s="78" t="str">
        <f>IFERROR(INDEX(CustomerDetails!$A$1:$C$469,CustomerDetails!$P491,COLUMNS($Q505:Q505)),"")</f>
        <v/>
      </c>
      <c r="R505" s="78" t="str">
        <f>IFERROR(INDEX(CustomerDetails!$A$1:$C$469,CustomerDetails!$P491,COLUMNS($Q505:R505)),"")</f>
        <v/>
      </c>
      <c r="S505" s="78" t="str">
        <f>IFERROR(INDEX(CustomerDetails!$A$1:$C$469,CustomerDetails!$P491,COLUMNS($Q505:S505)),"")</f>
        <v/>
      </c>
    </row>
    <row r="506" spans="1:19" x14ac:dyDescent="0.3">
      <c r="A506" s="79"/>
      <c r="B506" s="79"/>
      <c r="Q506" s="78" t="str">
        <f>IFERROR(INDEX(CustomerDetails!$A$1:$C$469,CustomerDetails!$P492,COLUMNS($Q506:Q506)),"")</f>
        <v/>
      </c>
      <c r="R506" s="78" t="str">
        <f>IFERROR(INDEX(CustomerDetails!$A$1:$C$469,CustomerDetails!$P492,COLUMNS($Q506:R506)),"")</f>
        <v/>
      </c>
      <c r="S506" s="78" t="str">
        <f>IFERROR(INDEX(CustomerDetails!$A$1:$C$469,CustomerDetails!$P492,COLUMNS($Q506:S506)),"")</f>
        <v/>
      </c>
    </row>
    <row r="507" spans="1:19" x14ac:dyDescent="0.3">
      <c r="A507" s="79"/>
      <c r="B507" s="79"/>
      <c r="Q507" s="78" t="str">
        <f>IFERROR(INDEX(CustomerDetails!$A$1:$C$469,CustomerDetails!$P493,COLUMNS($Q507:Q507)),"")</f>
        <v/>
      </c>
      <c r="R507" s="78" t="str">
        <f>IFERROR(INDEX(CustomerDetails!$A$1:$C$469,CustomerDetails!$P493,COLUMNS($Q507:R507)),"")</f>
        <v/>
      </c>
      <c r="S507" s="78" t="str">
        <f>IFERROR(INDEX(CustomerDetails!$A$1:$C$469,CustomerDetails!$P493,COLUMNS($Q507:S507)),"")</f>
        <v/>
      </c>
    </row>
    <row r="508" spans="1:19" x14ac:dyDescent="0.3">
      <c r="A508" s="79"/>
      <c r="B508" s="79"/>
      <c r="Q508" s="78" t="str">
        <f>IFERROR(INDEX(CustomerDetails!$A$1:$C$469,CustomerDetails!$P494,COLUMNS($Q508:Q508)),"")</f>
        <v/>
      </c>
      <c r="R508" s="78" t="str">
        <f>IFERROR(INDEX(CustomerDetails!$A$1:$C$469,CustomerDetails!$P494,COLUMNS($Q508:R508)),"")</f>
        <v/>
      </c>
      <c r="S508" s="78" t="str">
        <f>IFERROR(INDEX(CustomerDetails!$A$1:$C$469,CustomerDetails!$P494,COLUMNS($Q508:S508)),"")</f>
        <v/>
      </c>
    </row>
    <row r="509" spans="1:19" x14ac:dyDescent="0.3">
      <c r="A509" s="79"/>
      <c r="B509" s="79"/>
      <c r="Q509" s="78" t="str">
        <f>IFERROR(INDEX(CustomerDetails!$A$1:$C$469,CustomerDetails!$P495,COLUMNS($Q509:Q509)),"")</f>
        <v/>
      </c>
      <c r="R509" s="78" t="str">
        <f>IFERROR(INDEX(CustomerDetails!$A$1:$C$469,CustomerDetails!$P495,COLUMNS($Q509:R509)),"")</f>
        <v/>
      </c>
      <c r="S509" s="78" t="str">
        <f>IFERROR(INDEX(CustomerDetails!$A$1:$C$469,CustomerDetails!$P495,COLUMNS($Q509:S509)),"")</f>
        <v/>
      </c>
    </row>
    <row r="510" spans="1:19" x14ac:dyDescent="0.3">
      <c r="A510" s="79"/>
      <c r="B510" s="79"/>
      <c r="Q510" s="78" t="str">
        <f>IFERROR(INDEX(CustomerDetails!$A$1:$C$469,CustomerDetails!$P496,COLUMNS($Q510:Q510)),"")</f>
        <v/>
      </c>
      <c r="R510" s="78" t="str">
        <f>IFERROR(INDEX(CustomerDetails!$A$1:$C$469,CustomerDetails!$P496,COLUMNS($Q510:R510)),"")</f>
        <v/>
      </c>
      <c r="S510" s="78" t="str">
        <f>IFERROR(INDEX(CustomerDetails!$A$1:$C$469,CustomerDetails!$P496,COLUMNS($Q510:S510)),"")</f>
        <v/>
      </c>
    </row>
    <row r="511" spans="1:19" x14ac:dyDescent="0.3">
      <c r="A511" s="79"/>
      <c r="B511" s="79"/>
      <c r="Q511" s="78" t="str">
        <f>IFERROR(INDEX(CustomerDetails!$A$1:$C$469,CustomerDetails!$P497,COLUMNS($Q511:Q511)),"")</f>
        <v/>
      </c>
      <c r="R511" s="78" t="str">
        <f>IFERROR(INDEX(CustomerDetails!$A$1:$C$469,CustomerDetails!$P497,COLUMNS($Q511:R511)),"")</f>
        <v/>
      </c>
      <c r="S511" s="78" t="str">
        <f>IFERROR(INDEX(CustomerDetails!$A$1:$C$469,CustomerDetails!$P497,COLUMNS($Q511:S511)),"")</f>
        <v/>
      </c>
    </row>
    <row r="512" spans="1:19" x14ac:dyDescent="0.3">
      <c r="A512" s="79"/>
      <c r="B512" s="79"/>
      <c r="Q512" s="78" t="str">
        <f>IFERROR(INDEX(CustomerDetails!$A$1:$C$469,CustomerDetails!$P498,COLUMNS($Q512:Q512)),"")</f>
        <v/>
      </c>
      <c r="R512" s="78" t="str">
        <f>IFERROR(INDEX(CustomerDetails!$A$1:$C$469,CustomerDetails!$P498,COLUMNS($Q512:R512)),"")</f>
        <v/>
      </c>
      <c r="S512" s="78" t="str">
        <f>IFERROR(INDEX(CustomerDetails!$A$1:$C$469,CustomerDetails!$P498,COLUMNS($Q512:S512)),"")</f>
        <v/>
      </c>
    </row>
    <row r="513" spans="1:19" x14ac:dyDescent="0.3">
      <c r="A513" s="79"/>
      <c r="B513" s="79"/>
      <c r="Q513" s="78" t="str">
        <f>IFERROR(INDEX(CustomerDetails!$A$1:$C$469,CustomerDetails!$P499,COLUMNS($Q513:Q513)),"")</f>
        <v/>
      </c>
      <c r="R513" s="78" t="str">
        <f>IFERROR(INDEX(CustomerDetails!$A$1:$C$469,CustomerDetails!$P499,COLUMNS($Q513:R513)),"")</f>
        <v/>
      </c>
      <c r="S513" s="78" t="str">
        <f>IFERROR(INDEX(CustomerDetails!$A$1:$C$469,CustomerDetails!$P499,COLUMNS($Q513:S513)),"")</f>
        <v/>
      </c>
    </row>
    <row r="514" spans="1:19" x14ac:dyDescent="0.3">
      <c r="A514" s="79"/>
      <c r="B514" s="79"/>
      <c r="Q514" s="78" t="str">
        <f>IFERROR(INDEX(CustomerDetails!$A$1:$C$469,CustomerDetails!$P500,COLUMNS($Q514:Q514)),"")</f>
        <v/>
      </c>
      <c r="R514" s="78" t="str">
        <f>IFERROR(INDEX(CustomerDetails!$A$1:$C$469,CustomerDetails!$P500,COLUMNS($Q514:R514)),"")</f>
        <v/>
      </c>
      <c r="S514" s="78" t="str">
        <f>IFERROR(INDEX(CustomerDetails!$A$1:$C$469,CustomerDetails!$P500,COLUMNS($Q514:S514)),"")</f>
        <v/>
      </c>
    </row>
    <row r="515" spans="1:19" x14ac:dyDescent="0.3">
      <c r="A515" s="79"/>
      <c r="B515" s="79"/>
      <c r="Q515" s="78" t="str">
        <f>IFERROR(INDEX(CustomerDetails!$A$1:$C$469,CustomerDetails!$P501,COLUMNS($Q515:Q515)),"")</f>
        <v/>
      </c>
      <c r="R515" s="78" t="str">
        <f>IFERROR(INDEX(CustomerDetails!$A$1:$C$469,CustomerDetails!$P501,COLUMNS($Q515:R515)),"")</f>
        <v/>
      </c>
      <c r="S515" s="78" t="str">
        <f>IFERROR(INDEX(CustomerDetails!$A$1:$C$469,CustomerDetails!$P501,COLUMNS($Q515:S515)),"")</f>
        <v/>
      </c>
    </row>
    <row r="516" spans="1:19" x14ac:dyDescent="0.3">
      <c r="A516" s="79"/>
      <c r="B516" s="79"/>
      <c r="Q516" s="78" t="str">
        <f>IFERROR(INDEX(CustomerDetails!$A$1:$C$469,CustomerDetails!$P502,COLUMNS($Q516:Q516)),"")</f>
        <v/>
      </c>
      <c r="R516" s="78" t="str">
        <f>IFERROR(INDEX(CustomerDetails!$A$1:$C$469,CustomerDetails!$P502,COLUMNS($Q516:R516)),"")</f>
        <v/>
      </c>
      <c r="S516" s="78" t="str">
        <f>IFERROR(INDEX(CustomerDetails!$A$1:$C$469,CustomerDetails!$P502,COLUMNS($Q516:S516)),"")</f>
        <v/>
      </c>
    </row>
    <row r="517" spans="1:19" x14ac:dyDescent="0.3">
      <c r="A517" s="79"/>
      <c r="B517" s="79"/>
      <c r="Q517" s="78" t="str">
        <f>IFERROR(INDEX(CustomerDetails!$A$1:$C$469,CustomerDetails!$P503,COLUMNS($Q517:Q517)),"")</f>
        <v/>
      </c>
      <c r="R517" s="78" t="str">
        <f>IFERROR(INDEX(CustomerDetails!$A$1:$C$469,CustomerDetails!$P503,COLUMNS($Q517:R517)),"")</f>
        <v/>
      </c>
      <c r="S517" s="78" t="str">
        <f>IFERROR(INDEX(CustomerDetails!$A$1:$C$469,CustomerDetails!$P503,COLUMNS($Q517:S517)),"")</f>
        <v/>
      </c>
    </row>
    <row r="518" spans="1:19" x14ac:dyDescent="0.3">
      <c r="A518" s="79"/>
      <c r="B518" s="79"/>
      <c r="Q518" s="78" t="str">
        <f>IFERROR(INDEX(CustomerDetails!$A$1:$C$469,CustomerDetails!$P504,COLUMNS($Q518:Q518)),"")</f>
        <v/>
      </c>
      <c r="R518" s="78" t="str">
        <f>IFERROR(INDEX(CustomerDetails!$A$1:$C$469,CustomerDetails!$P504,COLUMNS($Q518:R518)),"")</f>
        <v/>
      </c>
      <c r="S518" s="78" t="str">
        <f>IFERROR(INDEX(CustomerDetails!$A$1:$C$469,CustomerDetails!$P504,COLUMNS($Q518:S518)),"")</f>
        <v/>
      </c>
    </row>
    <row r="519" spans="1:19" x14ac:dyDescent="0.3">
      <c r="A519" s="79"/>
      <c r="B519" s="79"/>
      <c r="Q519" s="78" t="str">
        <f>IFERROR(INDEX(CustomerDetails!$A$1:$C$469,CustomerDetails!$P505,COLUMNS($Q519:Q519)),"")</f>
        <v/>
      </c>
      <c r="R519" s="78" t="str">
        <f>IFERROR(INDEX(CustomerDetails!$A$1:$C$469,CustomerDetails!$P505,COLUMNS($Q519:R519)),"")</f>
        <v/>
      </c>
      <c r="S519" s="78" t="str">
        <f>IFERROR(INDEX(CustomerDetails!$A$1:$C$469,CustomerDetails!$P505,COLUMNS($Q519:S519)),"")</f>
        <v/>
      </c>
    </row>
    <row r="520" spans="1:19" x14ac:dyDescent="0.3">
      <c r="A520" s="79"/>
      <c r="B520" s="79"/>
      <c r="Q520" s="78" t="str">
        <f>IFERROR(INDEX(CustomerDetails!$A$1:$C$469,CustomerDetails!$P506,COLUMNS($Q520:Q520)),"")</f>
        <v/>
      </c>
      <c r="R520" s="78" t="str">
        <f>IFERROR(INDEX(CustomerDetails!$A$1:$C$469,CustomerDetails!$P506,COLUMNS($Q520:R520)),"")</f>
        <v/>
      </c>
      <c r="S520" s="78" t="str">
        <f>IFERROR(INDEX(CustomerDetails!$A$1:$C$469,CustomerDetails!$P506,COLUMNS($Q520:S520)),"")</f>
        <v/>
      </c>
    </row>
    <row r="521" spans="1:19" x14ac:dyDescent="0.3">
      <c r="A521" s="79"/>
      <c r="B521" s="79"/>
      <c r="Q521" s="78" t="str">
        <f>IFERROR(INDEX(CustomerDetails!$A$1:$C$469,CustomerDetails!$P507,COLUMNS($Q521:Q521)),"")</f>
        <v/>
      </c>
      <c r="R521" s="78" t="str">
        <f>IFERROR(INDEX(CustomerDetails!$A$1:$C$469,CustomerDetails!$P507,COLUMNS($Q521:R521)),"")</f>
        <v/>
      </c>
      <c r="S521" s="78" t="str">
        <f>IFERROR(INDEX(CustomerDetails!$A$1:$C$469,CustomerDetails!$P507,COLUMNS($Q521:S521)),"")</f>
        <v/>
      </c>
    </row>
    <row r="522" spans="1:19" x14ac:dyDescent="0.3">
      <c r="A522" s="79"/>
      <c r="B522" s="79"/>
      <c r="Q522" s="78" t="str">
        <f>IFERROR(INDEX(CustomerDetails!$A$1:$C$469,CustomerDetails!$P508,COLUMNS($Q522:Q522)),"")</f>
        <v/>
      </c>
      <c r="R522" s="78" t="str">
        <f>IFERROR(INDEX(CustomerDetails!$A$1:$C$469,CustomerDetails!$P508,COLUMNS($Q522:R522)),"")</f>
        <v/>
      </c>
      <c r="S522" s="78" t="str">
        <f>IFERROR(INDEX(CustomerDetails!$A$1:$C$469,CustomerDetails!$P508,COLUMNS($Q522:S522)),"")</f>
        <v/>
      </c>
    </row>
    <row r="523" spans="1:19" x14ac:dyDescent="0.3">
      <c r="A523" s="79"/>
      <c r="B523" s="79"/>
      <c r="Q523" s="78" t="str">
        <f>IFERROR(INDEX(CustomerDetails!$A$1:$C$469,CustomerDetails!$P509,COLUMNS($Q523:Q523)),"")</f>
        <v/>
      </c>
      <c r="R523" s="78" t="str">
        <f>IFERROR(INDEX(CustomerDetails!$A$1:$C$469,CustomerDetails!$P509,COLUMNS($Q523:R523)),"")</f>
        <v/>
      </c>
      <c r="S523" s="78" t="str">
        <f>IFERROR(INDEX(CustomerDetails!$A$1:$C$469,CustomerDetails!$P509,COLUMNS($Q523:S523)),"")</f>
        <v/>
      </c>
    </row>
    <row r="524" spans="1:19" x14ac:dyDescent="0.3">
      <c r="A524" s="79"/>
      <c r="B524" s="79"/>
      <c r="Q524" s="78" t="str">
        <f>IFERROR(INDEX(CustomerDetails!$A$1:$C$469,CustomerDetails!$P510,COLUMNS($Q524:Q524)),"")</f>
        <v/>
      </c>
      <c r="R524" s="78" t="str">
        <f>IFERROR(INDEX(CustomerDetails!$A$1:$C$469,CustomerDetails!$P510,COLUMNS($Q524:R524)),"")</f>
        <v/>
      </c>
      <c r="S524" s="78" t="str">
        <f>IFERROR(INDEX(CustomerDetails!$A$1:$C$469,CustomerDetails!$P510,COLUMNS($Q524:S524)),"")</f>
        <v/>
      </c>
    </row>
    <row r="525" spans="1:19" x14ac:dyDescent="0.3">
      <c r="A525" s="79"/>
      <c r="B525" s="79"/>
      <c r="Q525" s="78" t="str">
        <f>IFERROR(INDEX(CustomerDetails!$A$1:$C$469,CustomerDetails!$P511,COLUMNS($Q525:Q525)),"")</f>
        <v/>
      </c>
      <c r="R525" s="78" t="str">
        <f>IFERROR(INDEX(CustomerDetails!$A$1:$C$469,CustomerDetails!$P511,COLUMNS($Q525:R525)),"")</f>
        <v/>
      </c>
      <c r="S525" s="78" t="str">
        <f>IFERROR(INDEX(CustomerDetails!$A$1:$C$469,CustomerDetails!$P511,COLUMNS($Q525:S525)),"")</f>
        <v/>
      </c>
    </row>
    <row r="526" spans="1:19" x14ac:dyDescent="0.3">
      <c r="A526" s="79"/>
      <c r="B526" s="79"/>
      <c r="Q526" s="78" t="str">
        <f>IFERROR(INDEX(CustomerDetails!$A$1:$C$469,CustomerDetails!$P512,COLUMNS($Q526:Q526)),"")</f>
        <v/>
      </c>
      <c r="R526" s="78" t="str">
        <f>IFERROR(INDEX(CustomerDetails!$A$1:$C$469,CustomerDetails!$P512,COLUMNS($Q526:R526)),"")</f>
        <v/>
      </c>
      <c r="S526" s="78" t="str">
        <f>IFERROR(INDEX(CustomerDetails!$A$1:$C$469,CustomerDetails!$P512,COLUMNS($Q526:S526)),"")</f>
        <v/>
      </c>
    </row>
    <row r="527" spans="1:19" x14ac:dyDescent="0.3">
      <c r="A527" s="79"/>
      <c r="B527" s="79"/>
      <c r="Q527" s="78" t="str">
        <f>IFERROR(INDEX(CustomerDetails!$A$1:$C$469,CustomerDetails!$P513,COLUMNS($Q527:Q527)),"")</f>
        <v/>
      </c>
      <c r="R527" s="78" t="str">
        <f>IFERROR(INDEX(CustomerDetails!$A$1:$C$469,CustomerDetails!$P513,COLUMNS($Q527:R527)),"")</f>
        <v/>
      </c>
      <c r="S527" s="78" t="str">
        <f>IFERROR(INDEX(CustomerDetails!$A$1:$C$469,CustomerDetails!$P513,COLUMNS($Q527:S527)),"")</f>
        <v/>
      </c>
    </row>
    <row r="528" spans="1:19" x14ac:dyDescent="0.3">
      <c r="A528" s="79"/>
      <c r="B528" s="79"/>
      <c r="Q528" s="78" t="str">
        <f>IFERROR(INDEX(CustomerDetails!$A$1:$C$469,CustomerDetails!$P514,COLUMNS($Q528:Q528)),"")</f>
        <v/>
      </c>
      <c r="R528" s="78" t="str">
        <f>IFERROR(INDEX(CustomerDetails!$A$1:$C$469,CustomerDetails!$P514,COLUMNS($Q528:R528)),"")</f>
        <v/>
      </c>
      <c r="S528" s="78" t="str">
        <f>IFERROR(INDEX(CustomerDetails!$A$1:$C$469,CustomerDetails!$P514,COLUMNS($Q528:S528)),"")</f>
        <v/>
      </c>
    </row>
    <row r="529" spans="1:19" x14ac:dyDescent="0.3">
      <c r="A529" s="79"/>
      <c r="B529" s="79"/>
      <c r="Q529" s="78" t="str">
        <f>IFERROR(INDEX(CustomerDetails!$A$1:$C$469,CustomerDetails!$P515,COLUMNS($Q529:Q529)),"")</f>
        <v/>
      </c>
      <c r="R529" s="78" t="str">
        <f>IFERROR(INDEX(CustomerDetails!$A$1:$C$469,CustomerDetails!$P515,COLUMNS($Q529:R529)),"")</f>
        <v/>
      </c>
      <c r="S529" s="78" t="str">
        <f>IFERROR(INDEX(CustomerDetails!$A$1:$C$469,CustomerDetails!$P515,COLUMNS($Q529:S529)),"")</f>
        <v/>
      </c>
    </row>
    <row r="530" spans="1:19" x14ac:dyDescent="0.3">
      <c r="A530" s="79"/>
      <c r="B530" s="79"/>
      <c r="Q530" s="78" t="str">
        <f>IFERROR(INDEX(CustomerDetails!$A$1:$C$469,CustomerDetails!$P516,COLUMNS($Q530:Q530)),"")</f>
        <v/>
      </c>
      <c r="R530" s="78" t="str">
        <f>IFERROR(INDEX(CustomerDetails!$A$1:$C$469,CustomerDetails!$P516,COLUMNS($Q530:R530)),"")</f>
        <v/>
      </c>
      <c r="S530" s="78" t="str">
        <f>IFERROR(INDEX(CustomerDetails!$A$1:$C$469,CustomerDetails!$P516,COLUMNS($Q530:S530)),"")</f>
        <v/>
      </c>
    </row>
    <row r="531" spans="1:19" x14ac:dyDescent="0.3">
      <c r="A531" s="79"/>
      <c r="B531" s="79"/>
      <c r="Q531" s="78" t="str">
        <f>IFERROR(INDEX(CustomerDetails!$A$1:$C$469,CustomerDetails!$P517,COLUMNS($Q531:Q531)),"")</f>
        <v/>
      </c>
      <c r="R531" s="78" t="str">
        <f>IFERROR(INDEX(CustomerDetails!$A$1:$C$469,CustomerDetails!$P517,COLUMNS($Q531:R531)),"")</f>
        <v/>
      </c>
      <c r="S531" s="78" t="str">
        <f>IFERROR(INDEX(CustomerDetails!$A$1:$C$469,CustomerDetails!$P517,COLUMNS($Q531:S531)),"")</f>
        <v/>
      </c>
    </row>
    <row r="532" spans="1:19" x14ac:dyDescent="0.3">
      <c r="A532" s="79"/>
      <c r="B532" s="79"/>
      <c r="Q532" s="78" t="str">
        <f>IFERROR(INDEX(CustomerDetails!$A$1:$C$469,CustomerDetails!$P518,COLUMNS($Q532:Q532)),"")</f>
        <v/>
      </c>
      <c r="R532" s="78" t="str">
        <f>IFERROR(INDEX(CustomerDetails!$A$1:$C$469,CustomerDetails!$P518,COLUMNS($Q532:R532)),"")</f>
        <v/>
      </c>
      <c r="S532" s="78" t="str">
        <f>IFERROR(INDEX(CustomerDetails!$A$1:$C$469,CustomerDetails!$P518,COLUMNS($Q532:S532)),"")</f>
        <v/>
      </c>
    </row>
    <row r="533" spans="1:19" x14ac:dyDescent="0.3">
      <c r="A533" s="79"/>
      <c r="B533" s="79"/>
      <c r="Q533" s="78" t="str">
        <f>IFERROR(INDEX(CustomerDetails!$A$1:$C$469,CustomerDetails!$P519,COLUMNS($Q533:Q533)),"")</f>
        <v/>
      </c>
      <c r="R533" s="78" t="str">
        <f>IFERROR(INDEX(CustomerDetails!$A$1:$C$469,CustomerDetails!$P519,COLUMNS($Q533:R533)),"")</f>
        <v/>
      </c>
      <c r="S533" s="78" t="str">
        <f>IFERROR(INDEX(CustomerDetails!$A$1:$C$469,CustomerDetails!$P519,COLUMNS($Q533:S533)),"")</f>
        <v/>
      </c>
    </row>
    <row r="534" spans="1:19" x14ac:dyDescent="0.3">
      <c r="A534" s="79"/>
      <c r="B534" s="79"/>
      <c r="Q534" s="78" t="str">
        <f>IFERROR(INDEX(CustomerDetails!$A$1:$C$469,CustomerDetails!$P520,COLUMNS($Q534:Q534)),"")</f>
        <v/>
      </c>
      <c r="R534" s="78" t="str">
        <f>IFERROR(INDEX(CustomerDetails!$A$1:$C$469,CustomerDetails!$P520,COLUMNS($Q534:R534)),"")</f>
        <v/>
      </c>
      <c r="S534" s="78" t="str">
        <f>IFERROR(INDEX(CustomerDetails!$A$1:$C$469,CustomerDetails!$P520,COLUMNS($Q534:S534)),"")</f>
        <v/>
      </c>
    </row>
    <row r="535" spans="1:19" x14ac:dyDescent="0.3">
      <c r="A535" s="79"/>
      <c r="B535" s="79"/>
      <c r="Q535" s="78" t="str">
        <f>IFERROR(INDEX(CustomerDetails!$A$1:$C$469,CustomerDetails!$P521,COLUMNS($Q535:Q535)),"")</f>
        <v/>
      </c>
      <c r="R535" s="78" t="str">
        <f>IFERROR(INDEX(CustomerDetails!$A$1:$C$469,CustomerDetails!$P521,COLUMNS($Q535:R535)),"")</f>
        <v/>
      </c>
      <c r="S535" s="78" t="str">
        <f>IFERROR(INDEX(CustomerDetails!$A$1:$C$469,CustomerDetails!$P521,COLUMNS($Q535:S535)),"")</f>
        <v/>
      </c>
    </row>
    <row r="536" spans="1:19" x14ac:dyDescent="0.3">
      <c r="A536" s="79"/>
      <c r="B536" s="79"/>
      <c r="Q536" s="78" t="str">
        <f>IFERROR(INDEX(CustomerDetails!$A$1:$C$469,CustomerDetails!$P522,COLUMNS($Q536:Q536)),"")</f>
        <v/>
      </c>
      <c r="R536" s="78" t="str">
        <f>IFERROR(INDEX(CustomerDetails!$A$1:$C$469,CustomerDetails!$P522,COLUMNS($Q536:R536)),"")</f>
        <v/>
      </c>
      <c r="S536" s="78" t="str">
        <f>IFERROR(INDEX(CustomerDetails!$A$1:$C$469,CustomerDetails!$P522,COLUMNS($Q536:S536)),"")</f>
        <v/>
      </c>
    </row>
    <row r="537" spans="1:19" x14ac:dyDescent="0.3">
      <c r="A537" s="79"/>
      <c r="B537" s="79"/>
      <c r="Q537" s="78" t="str">
        <f>IFERROR(INDEX(CustomerDetails!$A$1:$C$469,CustomerDetails!$P523,COLUMNS($Q537:Q537)),"")</f>
        <v/>
      </c>
      <c r="R537" s="78" t="str">
        <f>IFERROR(INDEX(CustomerDetails!$A$1:$C$469,CustomerDetails!$P523,COLUMNS($Q537:R537)),"")</f>
        <v/>
      </c>
      <c r="S537" s="78" t="str">
        <f>IFERROR(INDEX(CustomerDetails!$A$1:$C$469,CustomerDetails!$P523,COLUMNS($Q537:S537)),"")</f>
        <v/>
      </c>
    </row>
    <row r="538" spans="1:19" x14ac:dyDescent="0.3">
      <c r="A538" s="79"/>
      <c r="B538" s="79"/>
      <c r="Q538" s="78" t="str">
        <f>IFERROR(INDEX(CustomerDetails!$A$1:$C$469,CustomerDetails!$P524,COLUMNS($Q538:Q538)),"")</f>
        <v/>
      </c>
      <c r="R538" s="78" t="str">
        <f>IFERROR(INDEX(CustomerDetails!$A$1:$C$469,CustomerDetails!$P524,COLUMNS($Q538:R538)),"")</f>
        <v/>
      </c>
      <c r="S538" s="78" t="str">
        <f>IFERROR(INDEX(CustomerDetails!$A$1:$C$469,CustomerDetails!$P524,COLUMNS($Q538:S538)),"")</f>
        <v/>
      </c>
    </row>
    <row r="539" spans="1:19" x14ac:dyDescent="0.3">
      <c r="A539" s="79"/>
      <c r="B539" s="79"/>
      <c r="Q539" s="78" t="str">
        <f>IFERROR(INDEX(CustomerDetails!$A$1:$C$469,CustomerDetails!$P525,COLUMNS($Q539:Q539)),"")</f>
        <v/>
      </c>
      <c r="R539" s="78" t="str">
        <f>IFERROR(INDEX(CustomerDetails!$A$1:$C$469,CustomerDetails!$P525,COLUMNS($Q539:R539)),"")</f>
        <v/>
      </c>
      <c r="S539" s="78" t="str">
        <f>IFERROR(INDEX(CustomerDetails!$A$1:$C$469,CustomerDetails!$P525,COLUMNS($Q539:S539)),"")</f>
        <v/>
      </c>
    </row>
    <row r="540" spans="1:19" x14ac:dyDescent="0.3">
      <c r="A540" s="79"/>
      <c r="B540" s="79"/>
      <c r="Q540" s="78" t="str">
        <f>IFERROR(INDEX(CustomerDetails!$A$1:$C$469,CustomerDetails!$P526,COLUMNS($Q540:Q540)),"")</f>
        <v/>
      </c>
      <c r="R540" s="78" t="str">
        <f>IFERROR(INDEX(CustomerDetails!$A$1:$C$469,CustomerDetails!$P526,COLUMNS($Q540:R540)),"")</f>
        <v/>
      </c>
      <c r="S540" s="78" t="str">
        <f>IFERROR(INDEX(CustomerDetails!$A$1:$C$469,CustomerDetails!$P526,COLUMNS($Q540:S540)),"")</f>
        <v/>
      </c>
    </row>
    <row r="541" spans="1:19" x14ac:dyDescent="0.3">
      <c r="A541" s="79"/>
      <c r="B541" s="79"/>
      <c r="Q541" s="78" t="str">
        <f>IFERROR(INDEX(CustomerDetails!$A$1:$C$469,CustomerDetails!$P527,COLUMNS($Q541:Q541)),"")</f>
        <v/>
      </c>
      <c r="R541" s="78" t="str">
        <f>IFERROR(INDEX(CustomerDetails!$A$1:$C$469,CustomerDetails!$P527,COLUMNS($Q541:R541)),"")</f>
        <v/>
      </c>
      <c r="S541" s="78" t="str">
        <f>IFERROR(INDEX(CustomerDetails!$A$1:$C$469,CustomerDetails!$P527,COLUMNS($Q541:S541)),"")</f>
        <v/>
      </c>
    </row>
    <row r="542" spans="1:19" x14ac:dyDescent="0.3">
      <c r="A542" s="79"/>
      <c r="B542" s="79"/>
      <c r="Q542" s="78" t="str">
        <f>IFERROR(INDEX(CustomerDetails!$A$1:$C$469,CustomerDetails!$P528,COLUMNS($Q542:Q542)),"")</f>
        <v/>
      </c>
      <c r="R542" s="78" t="str">
        <f>IFERROR(INDEX(CustomerDetails!$A$1:$C$469,CustomerDetails!$P528,COLUMNS($Q542:R542)),"")</f>
        <v/>
      </c>
      <c r="S542" s="78" t="str">
        <f>IFERROR(INDEX(CustomerDetails!$A$1:$C$469,CustomerDetails!$P528,COLUMNS($Q542:S542)),"")</f>
        <v/>
      </c>
    </row>
    <row r="543" spans="1:19" x14ac:dyDescent="0.3">
      <c r="A543" s="79"/>
      <c r="B543" s="79"/>
      <c r="Q543" s="78" t="str">
        <f>IFERROR(INDEX(CustomerDetails!$A$1:$C$469,CustomerDetails!$P529,COLUMNS($Q543:Q543)),"")</f>
        <v/>
      </c>
      <c r="R543" s="78" t="str">
        <f>IFERROR(INDEX(CustomerDetails!$A$1:$C$469,CustomerDetails!$P529,COLUMNS($Q543:R543)),"")</f>
        <v/>
      </c>
      <c r="S543" s="78" t="str">
        <f>IFERROR(INDEX(CustomerDetails!$A$1:$C$469,CustomerDetails!$P529,COLUMNS($Q543:S543)),"")</f>
        <v/>
      </c>
    </row>
    <row r="544" spans="1:19" x14ac:dyDescent="0.3">
      <c r="A544" s="79"/>
      <c r="B544" s="79"/>
      <c r="Q544" s="78" t="str">
        <f>IFERROR(INDEX(CustomerDetails!$A$1:$C$469,CustomerDetails!$P530,COLUMNS($Q544:Q544)),"")</f>
        <v/>
      </c>
      <c r="R544" s="78" t="str">
        <f>IFERROR(INDEX(CustomerDetails!$A$1:$C$469,CustomerDetails!$P530,COLUMNS($Q544:R544)),"")</f>
        <v/>
      </c>
      <c r="S544" s="78" t="str">
        <f>IFERROR(INDEX(CustomerDetails!$A$1:$C$469,CustomerDetails!$P530,COLUMNS($Q544:S544)),"")</f>
        <v/>
      </c>
    </row>
    <row r="545" spans="1:19" x14ac:dyDescent="0.3">
      <c r="A545" s="79"/>
      <c r="B545" s="79"/>
      <c r="Q545" s="78" t="str">
        <f>IFERROR(INDEX(CustomerDetails!$A$1:$C$469,CustomerDetails!$P531,COLUMNS($Q545:Q545)),"")</f>
        <v/>
      </c>
      <c r="R545" s="78" t="str">
        <f>IFERROR(INDEX(CustomerDetails!$A$1:$C$469,CustomerDetails!$P531,COLUMNS($Q545:R545)),"")</f>
        <v/>
      </c>
      <c r="S545" s="78" t="str">
        <f>IFERROR(INDEX(CustomerDetails!$A$1:$C$469,CustomerDetails!$P531,COLUMNS($Q545:S545)),"")</f>
        <v/>
      </c>
    </row>
    <row r="546" spans="1:19" x14ac:dyDescent="0.3">
      <c r="A546" s="79"/>
      <c r="B546" s="79"/>
      <c r="Q546" s="78" t="str">
        <f>IFERROR(INDEX(CustomerDetails!$A$1:$C$469,CustomerDetails!$P532,COLUMNS($Q546:Q546)),"")</f>
        <v/>
      </c>
      <c r="R546" s="78" t="str">
        <f>IFERROR(INDEX(CustomerDetails!$A$1:$C$469,CustomerDetails!$P532,COLUMNS($Q546:R546)),"")</f>
        <v/>
      </c>
      <c r="S546" s="78" t="str">
        <f>IFERROR(INDEX(CustomerDetails!$A$1:$C$469,CustomerDetails!$P532,COLUMNS($Q546:S546)),"")</f>
        <v/>
      </c>
    </row>
    <row r="547" spans="1:19" x14ac:dyDescent="0.3">
      <c r="A547" s="79"/>
      <c r="B547" s="79"/>
      <c r="Q547" s="78" t="str">
        <f>IFERROR(INDEX(CustomerDetails!$A$1:$C$469,CustomerDetails!$P533,COLUMNS($Q547:Q547)),"")</f>
        <v/>
      </c>
      <c r="R547" s="78" t="str">
        <f>IFERROR(INDEX(CustomerDetails!$A$1:$C$469,CustomerDetails!$P533,COLUMNS($Q547:R547)),"")</f>
        <v/>
      </c>
      <c r="S547" s="78" t="str">
        <f>IFERROR(INDEX(CustomerDetails!$A$1:$C$469,CustomerDetails!$P533,COLUMNS($Q547:S547)),"")</f>
        <v/>
      </c>
    </row>
    <row r="548" spans="1:19" x14ac:dyDescent="0.3">
      <c r="A548" s="79"/>
      <c r="B548" s="79"/>
      <c r="Q548" s="78" t="str">
        <f>IFERROR(INDEX(CustomerDetails!$A$1:$C$469,CustomerDetails!$P534,COLUMNS($Q548:Q548)),"")</f>
        <v/>
      </c>
      <c r="R548" s="78" t="str">
        <f>IFERROR(INDEX(CustomerDetails!$A$1:$C$469,CustomerDetails!$P534,COLUMNS($Q548:R548)),"")</f>
        <v/>
      </c>
      <c r="S548" s="78" t="str">
        <f>IFERROR(INDEX(CustomerDetails!$A$1:$C$469,CustomerDetails!$P534,COLUMNS($Q548:S548)),"")</f>
        <v/>
      </c>
    </row>
    <row r="549" spans="1:19" x14ac:dyDescent="0.3">
      <c r="A549" s="79"/>
      <c r="B549" s="79"/>
      <c r="Q549" s="78" t="str">
        <f>IFERROR(INDEX(CustomerDetails!$A$1:$C$469,CustomerDetails!$P535,COLUMNS($Q549:Q549)),"")</f>
        <v/>
      </c>
      <c r="R549" s="78" t="str">
        <f>IFERROR(INDEX(CustomerDetails!$A$1:$C$469,CustomerDetails!$P535,COLUMNS($Q549:R549)),"")</f>
        <v/>
      </c>
      <c r="S549" s="78" t="str">
        <f>IFERROR(INDEX(CustomerDetails!$A$1:$C$469,CustomerDetails!$P535,COLUMNS($Q549:S549)),"")</f>
        <v/>
      </c>
    </row>
    <row r="550" spans="1:19" x14ac:dyDescent="0.3">
      <c r="A550" s="79"/>
      <c r="B550" s="79"/>
      <c r="Q550" s="78" t="str">
        <f>IFERROR(INDEX(CustomerDetails!$A$1:$C$469,CustomerDetails!$P536,COLUMNS($Q550:Q550)),"")</f>
        <v/>
      </c>
      <c r="R550" s="78" t="str">
        <f>IFERROR(INDEX(CustomerDetails!$A$1:$C$469,CustomerDetails!$P536,COLUMNS($Q550:R550)),"")</f>
        <v/>
      </c>
      <c r="S550" s="78" t="str">
        <f>IFERROR(INDEX(CustomerDetails!$A$1:$C$469,CustomerDetails!$P536,COLUMNS($Q550:S550)),"")</f>
        <v/>
      </c>
    </row>
    <row r="551" spans="1:19" x14ac:dyDescent="0.3">
      <c r="A551" s="79"/>
      <c r="B551" s="79"/>
      <c r="Q551" s="78" t="str">
        <f>IFERROR(INDEX(CustomerDetails!$A$1:$C$469,CustomerDetails!$P537,COLUMNS($Q551:Q551)),"")</f>
        <v/>
      </c>
      <c r="R551" s="78" t="str">
        <f>IFERROR(INDEX(CustomerDetails!$A$1:$C$469,CustomerDetails!$P537,COLUMNS($Q551:R551)),"")</f>
        <v/>
      </c>
      <c r="S551" s="78" t="str">
        <f>IFERROR(INDEX(CustomerDetails!$A$1:$C$469,CustomerDetails!$P537,COLUMNS($Q551:S551)),"")</f>
        <v/>
      </c>
    </row>
    <row r="552" spans="1:19" x14ac:dyDescent="0.3">
      <c r="A552" s="79"/>
      <c r="B552" s="79"/>
      <c r="Q552" s="78" t="str">
        <f>IFERROR(INDEX(CustomerDetails!$A$1:$C$469,CustomerDetails!$P538,COLUMNS($Q552:Q552)),"")</f>
        <v/>
      </c>
      <c r="R552" s="78" t="str">
        <f>IFERROR(INDEX(CustomerDetails!$A$1:$C$469,CustomerDetails!$P538,COLUMNS($Q552:R552)),"")</f>
        <v/>
      </c>
      <c r="S552" s="78" t="str">
        <f>IFERROR(INDEX(CustomerDetails!$A$1:$C$469,CustomerDetails!$P538,COLUMNS($Q552:S552)),"")</f>
        <v/>
      </c>
    </row>
    <row r="553" spans="1:19" x14ac:dyDescent="0.3">
      <c r="A553" s="79"/>
      <c r="B553" s="79"/>
      <c r="Q553" s="78" t="str">
        <f>IFERROR(INDEX(CustomerDetails!$A$1:$C$469,CustomerDetails!$P539,COLUMNS($Q553:Q553)),"")</f>
        <v/>
      </c>
      <c r="R553" s="78" t="str">
        <f>IFERROR(INDEX(CustomerDetails!$A$1:$C$469,CustomerDetails!$P539,COLUMNS($Q553:R553)),"")</f>
        <v/>
      </c>
      <c r="S553" s="78" t="str">
        <f>IFERROR(INDEX(CustomerDetails!$A$1:$C$469,CustomerDetails!$P539,COLUMNS($Q553:S553)),"")</f>
        <v/>
      </c>
    </row>
    <row r="554" spans="1:19" x14ac:dyDescent="0.3">
      <c r="A554" s="79"/>
      <c r="B554" s="79"/>
      <c r="Q554" s="78" t="str">
        <f>IFERROR(INDEX(CustomerDetails!$A$1:$C$469,CustomerDetails!$P540,COLUMNS($Q554:Q554)),"")</f>
        <v/>
      </c>
      <c r="R554" s="78" t="str">
        <f>IFERROR(INDEX(CustomerDetails!$A$1:$C$469,CustomerDetails!$P540,COLUMNS($Q554:R554)),"")</f>
        <v/>
      </c>
      <c r="S554" s="78" t="str">
        <f>IFERROR(INDEX(CustomerDetails!$A$1:$C$469,CustomerDetails!$P540,COLUMNS($Q554:S554)),"")</f>
        <v/>
      </c>
    </row>
    <row r="555" spans="1:19" x14ac:dyDescent="0.3">
      <c r="A555" s="79"/>
      <c r="B555" s="79"/>
      <c r="Q555" s="78" t="str">
        <f>IFERROR(INDEX(CustomerDetails!$A$1:$C$469,CustomerDetails!$P541,COLUMNS($Q555:Q555)),"")</f>
        <v/>
      </c>
      <c r="R555" s="78" t="str">
        <f>IFERROR(INDEX(CustomerDetails!$A$1:$C$469,CustomerDetails!$P541,COLUMNS($Q555:R555)),"")</f>
        <v/>
      </c>
      <c r="S555" s="78" t="str">
        <f>IFERROR(INDEX(CustomerDetails!$A$1:$C$469,CustomerDetails!$P541,COLUMNS($Q555:S555)),"")</f>
        <v/>
      </c>
    </row>
    <row r="556" spans="1:19" x14ac:dyDescent="0.3">
      <c r="A556" s="79"/>
      <c r="B556" s="79"/>
      <c r="Q556" s="78" t="str">
        <f>IFERROR(INDEX(CustomerDetails!$A$1:$C$469,CustomerDetails!$P542,COLUMNS($Q556:Q556)),"")</f>
        <v/>
      </c>
      <c r="R556" s="78" t="str">
        <f>IFERROR(INDEX(CustomerDetails!$A$1:$C$469,CustomerDetails!$P542,COLUMNS($Q556:R556)),"")</f>
        <v/>
      </c>
      <c r="S556" s="78" t="str">
        <f>IFERROR(INDEX(CustomerDetails!$A$1:$C$469,CustomerDetails!$P542,COLUMNS($Q556:S556)),"")</f>
        <v/>
      </c>
    </row>
    <row r="557" spans="1:19" x14ac:dyDescent="0.3">
      <c r="A557" s="79"/>
      <c r="B557" s="79"/>
      <c r="Q557" s="78" t="str">
        <f>IFERROR(INDEX(CustomerDetails!$A$1:$C$469,CustomerDetails!$P543,COLUMNS($Q557:Q557)),"")</f>
        <v/>
      </c>
      <c r="R557" s="78" t="str">
        <f>IFERROR(INDEX(CustomerDetails!$A$1:$C$469,CustomerDetails!$P543,COLUMNS($Q557:R557)),"")</f>
        <v/>
      </c>
      <c r="S557" s="78" t="str">
        <f>IFERROR(INDEX(CustomerDetails!$A$1:$C$469,CustomerDetails!$P543,COLUMNS($Q557:S557)),"")</f>
        <v/>
      </c>
    </row>
    <row r="558" spans="1:19" x14ac:dyDescent="0.3">
      <c r="A558" s="79"/>
      <c r="B558" s="79"/>
      <c r="Q558" s="78" t="str">
        <f>IFERROR(INDEX(CustomerDetails!$A$1:$C$469,CustomerDetails!$P544,COLUMNS($Q558:Q558)),"")</f>
        <v/>
      </c>
      <c r="R558" s="78" t="str">
        <f>IFERROR(INDEX(CustomerDetails!$A$1:$C$469,CustomerDetails!$P544,COLUMNS($Q558:R558)),"")</f>
        <v/>
      </c>
      <c r="S558" s="78" t="str">
        <f>IFERROR(INDEX(CustomerDetails!$A$1:$C$469,CustomerDetails!$P544,COLUMNS($Q558:S558)),"")</f>
        <v/>
      </c>
    </row>
    <row r="559" spans="1:19" x14ac:dyDescent="0.3">
      <c r="A559" s="79"/>
      <c r="B559" s="79"/>
      <c r="Q559" s="78" t="str">
        <f>IFERROR(INDEX(CustomerDetails!$A$1:$C$469,CustomerDetails!$P545,COLUMNS($Q559:Q559)),"")</f>
        <v/>
      </c>
      <c r="R559" s="78" t="str">
        <f>IFERROR(INDEX(CustomerDetails!$A$1:$C$469,CustomerDetails!$P545,COLUMNS($Q559:R559)),"")</f>
        <v/>
      </c>
      <c r="S559" s="78" t="str">
        <f>IFERROR(INDEX(CustomerDetails!$A$1:$C$469,CustomerDetails!$P545,COLUMNS($Q559:S559)),"")</f>
        <v/>
      </c>
    </row>
    <row r="560" spans="1:19" x14ac:dyDescent="0.3">
      <c r="A560" s="79"/>
      <c r="B560" s="79"/>
      <c r="Q560" s="78" t="str">
        <f>IFERROR(INDEX(CustomerDetails!$A$1:$C$469,CustomerDetails!$P546,COLUMNS($Q560:Q560)),"")</f>
        <v/>
      </c>
      <c r="R560" s="78" t="str">
        <f>IFERROR(INDEX(CustomerDetails!$A$1:$C$469,CustomerDetails!$P546,COLUMNS($Q560:R560)),"")</f>
        <v/>
      </c>
      <c r="S560" s="78" t="str">
        <f>IFERROR(INDEX(CustomerDetails!$A$1:$C$469,CustomerDetails!$P546,COLUMNS($Q560:S560)),"")</f>
        <v/>
      </c>
    </row>
    <row r="561" spans="1:19" x14ac:dyDescent="0.3">
      <c r="A561" s="79"/>
      <c r="B561" s="79"/>
      <c r="Q561" s="78" t="str">
        <f>IFERROR(INDEX(CustomerDetails!$A$1:$C$469,CustomerDetails!$P547,COLUMNS($Q561:Q561)),"")</f>
        <v/>
      </c>
      <c r="R561" s="78" t="str">
        <f>IFERROR(INDEX(CustomerDetails!$A$1:$C$469,CustomerDetails!$P547,COLUMNS($Q561:R561)),"")</f>
        <v/>
      </c>
      <c r="S561" s="78" t="str">
        <f>IFERROR(INDEX(CustomerDetails!$A$1:$C$469,CustomerDetails!$P547,COLUMNS($Q561:S561)),"")</f>
        <v/>
      </c>
    </row>
    <row r="562" spans="1:19" x14ac:dyDescent="0.3">
      <c r="A562" s="79"/>
      <c r="B562" s="79"/>
      <c r="Q562" s="78" t="str">
        <f>IFERROR(INDEX(CustomerDetails!$A$1:$C$469,CustomerDetails!$P548,COLUMNS($Q562:Q562)),"")</f>
        <v/>
      </c>
      <c r="R562" s="78" t="str">
        <f>IFERROR(INDEX(CustomerDetails!$A$1:$C$469,CustomerDetails!$P548,COLUMNS($Q562:R562)),"")</f>
        <v/>
      </c>
      <c r="S562" s="78" t="str">
        <f>IFERROR(INDEX(CustomerDetails!$A$1:$C$469,CustomerDetails!$P548,COLUMNS($Q562:S562)),"")</f>
        <v/>
      </c>
    </row>
    <row r="563" spans="1:19" x14ac:dyDescent="0.3">
      <c r="A563" s="79"/>
      <c r="B563" s="79"/>
      <c r="Q563" s="78" t="str">
        <f>IFERROR(INDEX(CustomerDetails!$A$1:$C$469,CustomerDetails!$P549,COLUMNS($Q563:Q563)),"")</f>
        <v/>
      </c>
      <c r="R563" s="78" t="str">
        <f>IFERROR(INDEX(CustomerDetails!$A$1:$C$469,CustomerDetails!$P549,COLUMNS($Q563:R563)),"")</f>
        <v/>
      </c>
      <c r="S563" s="78" t="str">
        <f>IFERROR(INDEX(CustomerDetails!$A$1:$C$469,CustomerDetails!$P549,COLUMNS($Q563:S563)),"")</f>
        <v/>
      </c>
    </row>
    <row r="564" spans="1:19" x14ac:dyDescent="0.3">
      <c r="A564" s="79"/>
      <c r="B564" s="79"/>
      <c r="Q564" s="78" t="str">
        <f>IFERROR(INDEX(CustomerDetails!$A$1:$C$469,CustomerDetails!$P550,COLUMNS($Q564:Q564)),"")</f>
        <v/>
      </c>
      <c r="R564" s="78" t="str">
        <f>IFERROR(INDEX(CustomerDetails!$A$1:$C$469,CustomerDetails!$P550,COLUMNS($Q564:R564)),"")</f>
        <v/>
      </c>
      <c r="S564" s="78" t="str">
        <f>IFERROR(INDEX(CustomerDetails!$A$1:$C$469,CustomerDetails!$P550,COLUMNS($Q564:S564)),"")</f>
        <v/>
      </c>
    </row>
    <row r="565" spans="1:19" x14ac:dyDescent="0.3">
      <c r="A565" s="79"/>
      <c r="B565" s="79"/>
      <c r="Q565" s="78" t="str">
        <f>IFERROR(INDEX(CustomerDetails!$A$1:$C$469,CustomerDetails!$P551,COLUMNS($Q565:Q565)),"")</f>
        <v/>
      </c>
      <c r="R565" s="78" t="str">
        <f>IFERROR(INDEX(CustomerDetails!$A$1:$C$469,CustomerDetails!$P551,COLUMNS($Q565:R565)),"")</f>
        <v/>
      </c>
      <c r="S565" s="78" t="str">
        <f>IFERROR(INDEX(CustomerDetails!$A$1:$C$469,CustomerDetails!$P551,COLUMNS($Q565:S565)),"")</f>
        <v/>
      </c>
    </row>
    <row r="566" spans="1:19" x14ac:dyDescent="0.3">
      <c r="A566" s="79"/>
      <c r="B566" s="79"/>
      <c r="Q566" s="78" t="str">
        <f>IFERROR(INDEX(CustomerDetails!$A$1:$C$469,CustomerDetails!$P552,COLUMNS($Q566:Q566)),"")</f>
        <v/>
      </c>
      <c r="R566" s="78" t="str">
        <f>IFERROR(INDEX(CustomerDetails!$A$1:$C$469,CustomerDetails!$P552,COLUMNS($Q566:R566)),"")</f>
        <v/>
      </c>
      <c r="S566" s="78" t="str">
        <f>IFERROR(INDEX(CustomerDetails!$A$1:$C$469,CustomerDetails!$P552,COLUMNS($Q566:S566)),"")</f>
        <v/>
      </c>
    </row>
    <row r="567" spans="1:19" x14ac:dyDescent="0.3">
      <c r="A567" s="79"/>
      <c r="B567" s="79"/>
      <c r="Q567" s="78" t="str">
        <f>IFERROR(INDEX(CustomerDetails!$A$1:$C$469,CustomerDetails!$P553,COLUMNS($Q567:Q567)),"")</f>
        <v/>
      </c>
      <c r="R567" s="78" t="str">
        <f>IFERROR(INDEX(CustomerDetails!$A$1:$C$469,CustomerDetails!$P553,COLUMNS($Q567:R567)),"")</f>
        <v/>
      </c>
      <c r="S567" s="78" t="str">
        <f>IFERROR(INDEX(CustomerDetails!$A$1:$C$469,CustomerDetails!$P553,COLUMNS($Q567:S567)),"")</f>
        <v/>
      </c>
    </row>
    <row r="568" spans="1:19" x14ac:dyDescent="0.3">
      <c r="A568" s="79"/>
      <c r="B568" s="79"/>
      <c r="Q568" s="78" t="str">
        <f>IFERROR(INDEX(CustomerDetails!$A$1:$C$469,CustomerDetails!$P554,COLUMNS($Q568:Q568)),"")</f>
        <v/>
      </c>
      <c r="R568" s="78" t="str">
        <f>IFERROR(INDEX(CustomerDetails!$A$1:$C$469,CustomerDetails!$P554,COLUMNS($Q568:R568)),"")</f>
        <v/>
      </c>
      <c r="S568" s="78" t="str">
        <f>IFERROR(INDEX(CustomerDetails!$A$1:$C$469,CustomerDetails!$P554,COLUMNS($Q568:S568)),"")</f>
        <v/>
      </c>
    </row>
    <row r="569" spans="1:19" x14ac:dyDescent="0.3">
      <c r="A569" s="79"/>
      <c r="B569" s="79"/>
      <c r="Q569" s="78" t="str">
        <f>IFERROR(INDEX(CustomerDetails!$A$1:$C$469,CustomerDetails!$P555,COLUMNS($Q569:Q569)),"")</f>
        <v/>
      </c>
      <c r="R569" s="78" t="str">
        <f>IFERROR(INDEX(CustomerDetails!$A$1:$C$469,CustomerDetails!$P555,COLUMNS($Q569:R569)),"")</f>
        <v/>
      </c>
      <c r="S569" s="78" t="str">
        <f>IFERROR(INDEX(CustomerDetails!$A$1:$C$469,CustomerDetails!$P555,COLUMNS($Q569:S569)),"")</f>
        <v/>
      </c>
    </row>
    <row r="570" spans="1:19" x14ac:dyDescent="0.3">
      <c r="A570" s="79"/>
      <c r="B570" s="79"/>
      <c r="Q570" s="78" t="str">
        <f>IFERROR(INDEX(CustomerDetails!$A$1:$C$469,CustomerDetails!$P556,COLUMNS($Q570:Q570)),"")</f>
        <v/>
      </c>
      <c r="R570" s="78" t="str">
        <f>IFERROR(INDEX(CustomerDetails!$A$1:$C$469,CustomerDetails!$P556,COLUMNS($Q570:R570)),"")</f>
        <v/>
      </c>
      <c r="S570" s="78" t="str">
        <f>IFERROR(INDEX(CustomerDetails!$A$1:$C$469,CustomerDetails!$P556,COLUMNS($Q570:S570)),"")</f>
        <v/>
      </c>
    </row>
    <row r="571" spans="1:19" x14ac:dyDescent="0.3">
      <c r="A571" s="79"/>
      <c r="B571" s="79"/>
      <c r="Q571" s="78" t="str">
        <f>IFERROR(INDEX(CustomerDetails!$A$1:$C$469,CustomerDetails!$P557,COLUMNS($Q571:Q571)),"")</f>
        <v/>
      </c>
      <c r="R571" s="78" t="str">
        <f>IFERROR(INDEX(CustomerDetails!$A$1:$C$469,CustomerDetails!$P557,COLUMNS($Q571:R571)),"")</f>
        <v/>
      </c>
      <c r="S571" s="78" t="str">
        <f>IFERROR(INDEX(CustomerDetails!$A$1:$C$469,CustomerDetails!$P557,COLUMNS($Q571:S571)),"")</f>
        <v/>
      </c>
    </row>
    <row r="572" spans="1:19" x14ac:dyDescent="0.3">
      <c r="A572" s="79"/>
      <c r="B572" s="79"/>
      <c r="Q572" s="78" t="str">
        <f>IFERROR(INDEX(CustomerDetails!$A$1:$C$469,CustomerDetails!$P558,COLUMNS($Q572:Q572)),"")</f>
        <v/>
      </c>
      <c r="R572" s="78" t="str">
        <f>IFERROR(INDEX(CustomerDetails!$A$1:$C$469,CustomerDetails!$P558,COLUMNS($Q572:R572)),"")</f>
        <v/>
      </c>
      <c r="S572" s="78" t="str">
        <f>IFERROR(INDEX(CustomerDetails!$A$1:$C$469,CustomerDetails!$P558,COLUMNS($Q572:S572)),"")</f>
        <v/>
      </c>
    </row>
    <row r="573" spans="1:19" x14ac:dyDescent="0.3">
      <c r="A573" s="79"/>
      <c r="B573" s="79"/>
      <c r="Q573" s="78" t="str">
        <f>IFERROR(INDEX(CustomerDetails!$A$1:$C$469,CustomerDetails!$P559,COLUMNS($Q573:Q573)),"")</f>
        <v/>
      </c>
      <c r="R573" s="78" t="str">
        <f>IFERROR(INDEX(CustomerDetails!$A$1:$C$469,CustomerDetails!$P559,COLUMNS($Q573:R573)),"")</f>
        <v/>
      </c>
      <c r="S573" s="78" t="str">
        <f>IFERROR(INDEX(CustomerDetails!$A$1:$C$469,CustomerDetails!$P559,COLUMNS($Q573:S573)),"")</f>
        <v/>
      </c>
    </row>
    <row r="574" spans="1:19" x14ac:dyDescent="0.3">
      <c r="A574" s="79"/>
      <c r="B574" s="79"/>
      <c r="Q574" s="78" t="str">
        <f>IFERROR(INDEX(CustomerDetails!$A$1:$C$469,CustomerDetails!$P560,COLUMNS($Q574:Q574)),"")</f>
        <v/>
      </c>
      <c r="R574" s="78" t="str">
        <f>IFERROR(INDEX(CustomerDetails!$A$1:$C$469,CustomerDetails!$P560,COLUMNS($Q574:R574)),"")</f>
        <v/>
      </c>
      <c r="S574" s="78" t="str">
        <f>IFERROR(INDEX(CustomerDetails!$A$1:$C$469,CustomerDetails!$P560,COLUMNS($Q574:S574)),"")</f>
        <v/>
      </c>
    </row>
    <row r="575" spans="1:19" x14ac:dyDescent="0.3">
      <c r="A575" s="79"/>
      <c r="B575" s="79"/>
      <c r="Q575" s="78" t="str">
        <f>IFERROR(INDEX(CustomerDetails!$A$1:$C$469,CustomerDetails!$P561,COLUMNS($Q575:Q575)),"")</f>
        <v/>
      </c>
      <c r="R575" s="78" t="str">
        <f>IFERROR(INDEX(CustomerDetails!$A$1:$C$469,CustomerDetails!$P561,COLUMNS($Q575:R575)),"")</f>
        <v/>
      </c>
      <c r="S575" s="78" t="str">
        <f>IFERROR(INDEX(CustomerDetails!$A$1:$C$469,CustomerDetails!$P561,COLUMNS($Q575:S575)),"")</f>
        <v/>
      </c>
    </row>
    <row r="576" spans="1:19" x14ac:dyDescent="0.3">
      <c r="A576" s="79"/>
      <c r="B576" s="79"/>
      <c r="Q576" s="78" t="str">
        <f>IFERROR(INDEX(CustomerDetails!$A$1:$C$469,CustomerDetails!$P562,COLUMNS($Q576:Q576)),"")</f>
        <v/>
      </c>
      <c r="R576" s="78" t="str">
        <f>IFERROR(INDEX(CustomerDetails!$A$1:$C$469,CustomerDetails!$P562,COLUMNS($Q576:R576)),"")</f>
        <v/>
      </c>
      <c r="S576" s="78" t="str">
        <f>IFERROR(INDEX(CustomerDetails!$A$1:$C$469,CustomerDetails!$P562,COLUMNS($Q576:S576)),"")</f>
        <v/>
      </c>
    </row>
    <row r="577" spans="1:19" x14ac:dyDescent="0.3">
      <c r="A577" s="79"/>
      <c r="B577" s="79"/>
      <c r="Q577" s="78" t="str">
        <f>IFERROR(INDEX(CustomerDetails!$A$1:$C$469,CustomerDetails!$P563,COLUMNS($Q577:Q577)),"")</f>
        <v/>
      </c>
      <c r="R577" s="78" t="str">
        <f>IFERROR(INDEX(CustomerDetails!$A$1:$C$469,CustomerDetails!$P563,COLUMNS($Q577:R577)),"")</f>
        <v/>
      </c>
      <c r="S577" s="78" t="str">
        <f>IFERROR(INDEX(CustomerDetails!$A$1:$C$469,CustomerDetails!$P563,COLUMNS($Q577:S577)),"")</f>
        <v/>
      </c>
    </row>
    <row r="578" spans="1:19" x14ac:dyDescent="0.3">
      <c r="A578" s="79"/>
      <c r="B578" s="79"/>
      <c r="Q578" s="78" t="str">
        <f>IFERROR(INDEX(CustomerDetails!$A$1:$C$469,CustomerDetails!$P564,COLUMNS($Q578:Q578)),"")</f>
        <v/>
      </c>
      <c r="R578" s="78" t="str">
        <f>IFERROR(INDEX(CustomerDetails!$A$1:$C$469,CustomerDetails!$P564,COLUMNS($Q578:R578)),"")</f>
        <v/>
      </c>
      <c r="S578" s="78" t="str">
        <f>IFERROR(INDEX(CustomerDetails!$A$1:$C$469,CustomerDetails!$P564,COLUMNS($Q578:S578)),"")</f>
        <v/>
      </c>
    </row>
    <row r="579" spans="1:19" x14ac:dyDescent="0.3">
      <c r="A579" s="79"/>
      <c r="B579" s="79"/>
      <c r="Q579" s="78" t="str">
        <f>IFERROR(INDEX(CustomerDetails!$A$1:$C$469,CustomerDetails!$P565,COLUMNS($Q579:Q579)),"")</f>
        <v/>
      </c>
      <c r="R579" s="78" t="str">
        <f>IFERROR(INDEX(CustomerDetails!$A$1:$C$469,CustomerDetails!$P565,COLUMNS($Q579:R579)),"")</f>
        <v/>
      </c>
      <c r="S579" s="78" t="str">
        <f>IFERROR(INDEX(CustomerDetails!$A$1:$C$469,CustomerDetails!$P565,COLUMNS($Q579:S579)),"")</f>
        <v/>
      </c>
    </row>
    <row r="580" spans="1:19" x14ac:dyDescent="0.3">
      <c r="A580" s="79"/>
      <c r="B580" s="79"/>
      <c r="Q580" s="78" t="str">
        <f>IFERROR(INDEX(CustomerDetails!$A$1:$C$469,CustomerDetails!$P566,COLUMNS($Q580:Q580)),"")</f>
        <v/>
      </c>
      <c r="R580" s="78" t="str">
        <f>IFERROR(INDEX(CustomerDetails!$A$1:$C$469,CustomerDetails!$P566,COLUMNS($Q580:R580)),"")</f>
        <v/>
      </c>
      <c r="S580" s="78" t="str">
        <f>IFERROR(INDEX(CustomerDetails!$A$1:$C$469,CustomerDetails!$P566,COLUMNS($Q580:S580)),"")</f>
        <v/>
      </c>
    </row>
    <row r="581" spans="1:19" x14ac:dyDescent="0.3">
      <c r="A581" s="79"/>
      <c r="B581" s="79"/>
      <c r="Q581" s="78" t="str">
        <f>IFERROR(INDEX(CustomerDetails!$A$1:$C$469,CustomerDetails!$P567,COLUMNS($Q581:Q581)),"")</f>
        <v/>
      </c>
      <c r="R581" s="78" t="str">
        <f>IFERROR(INDEX(CustomerDetails!$A$1:$C$469,CustomerDetails!$P567,COLUMNS($Q581:R581)),"")</f>
        <v/>
      </c>
      <c r="S581" s="78" t="str">
        <f>IFERROR(INDEX(CustomerDetails!$A$1:$C$469,CustomerDetails!$P567,COLUMNS($Q581:S581)),"")</f>
        <v/>
      </c>
    </row>
    <row r="582" spans="1:19" x14ac:dyDescent="0.3">
      <c r="A582" s="79"/>
      <c r="B582" s="79"/>
      <c r="Q582" s="78" t="str">
        <f>IFERROR(INDEX(CustomerDetails!$A$1:$C$469,CustomerDetails!$P568,COLUMNS($Q582:Q582)),"")</f>
        <v/>
      </c>
      <c r="R582" s="78" t="str">
        <f>IFERROR(INDEX(CustomerDetails!$A$1:$C$469,CustomerDetails!$P568,COLUMNS($Q582:R582)),"")</f>
        <v/>
      </c>
      <c r="S582" s="78" t="str">
        <f>IFERROR(INDEX(CustomerDetails!$A$1:$C$469,CustomerDetails!$P568,COLUMNS($Q582:S582)),"")</f>
        <v/>
      </c>
    </row>
    <row r="583" spans="1:19" x14ac:dyDescent="0.3">
      <c r="A583" s="79"/>
      <c r="B583" s="79"/>
      <c r="Q583" s="78" t="str">
        <f>IFERROR(INDEX(CustomerDetails!$A$1:$C$469,CustomerDetails!$P569,COLUMNS($Q583:Q583)),"")</f>
        <v/>
      </c>
      <c r="R583" s="78" t="str">
        <f>IFERROR(INDEX(CustomerDetails!$A$1:$C$469,CustomerDetails!$P569,COLUMNS($Q583:R583)),"")</f>
        <v/>
      </c>
      <c r="S583" s="78" t="str">
        <f>IFERROR(INDEX(CustomerDetails!$A$1:$C$469,CustomerDetails!$P569,COLUMNS($Q583:S583)),"")</f>
        <v/>
      </c>
    </row>
    <row r="584" spans="1:19" x14ac:dyDescent="0.3">
      <c r="A584" s="79"/>
      <c r="B584" s="79"/>
      <c r="Q584" s="78" t="str">
        <f>IFERROR(INDEX(CustomerDetails!$A$1:$C$469,CustomerDetails!$P570,COLUMNS($Q584:Q584)),"")</f>
        <v/>
      </c>
      <c r="R584" s="78" t="str">
        <f>IFERROR(INDEX(CustomerDetails!$A$1:$C$469,CustomerDetails!$P570,COLUMNS($Q584:R584)),"")</f>
        <v/>
      </c>
      <c r="S584" s="78" t="str">
        <f>IFERROR(INDEX(CustomerDetails!$A$1:$C$469,CustomerDetails!$P570,COLUMNS($Q584:S584)),"")</f>
        <v/>
      </c>
    </row>
    <row r="585" spans="1:19" x14ac:dyDescent="0.3">
      <c r="A585" s="79"/>
      <c r="B585" s="79"/>
      <c r="Q585" s="78" t="str">
        <f>IFERROR(INDEX(CustomerDetails!$A$1:$C$469,CustomerDetails!$P571,COLUMNS($Q585:Q585)),"")</f>
        <v/>
      </c>
      <c r="R585" s="78" t="str">
        <f>IFERROR(INDEX(CustomerDetails!$A$1:$C$469,CustomerDetails!$P571,COLUMNS($Q585:R585)),"")</f>
        <v/>
      </c>
      <c r="S585" s="78" t="str">
        <f>IFERROR(INDEX(CustomerDetails!$A$1:$C$469,CustomerDetails!$P571,COLUMNS($Q585:S585)),"")</f>
        <v/>
      </c>
    </row>
    <row r="586" spans="1:19" x14ac:dyDescent="0.3">
      <c r="A586" s="79"/>
      <c r="B586" s="79"/>
      <c r="Q586" s="78" t="str">
        <f>IFERROR(INDEX(CustomerDetails!$A$1:$C$469,CustomerDetails!$P572,COLUMNS($Q586:Q586)),"")</f>
        <v/>
      </c>
      <c r="R586" s="78" t="str">
        <f>IFERROR(INDEX(CustomerDetails!$A$1:$C$469,CustomerDetails!$P572,COLUMNS($Q586:R586)),"")</f>
        <v/>
      </c>
      <c r="S586" s="78" t="str">
        <f>IFERROR(INDEX(CustomerDetails!$A$1:$C$469,CustomerDetails!$P572,COLUMNS($Q586:S586)),"")</f>
        <v/>
      </c>
    </row>
    <row r="587" spans="1:19" x14ac:dyDescent="0.3">
      <c r="A587" s="79"/>
      <c r="B587" s="79"/>
      <c r="Q587" s="78" t="str">
        <f>IFERROR(INDEX(CustomerDetails!$A$1:$C$469,CustomerDetails!$P573,COLUMNS($Q587:Q587)),"")</f>
        <v/>
      </c>
      <c r="R587" s="78" t="str">
        <f>IFERROR(INDEX(CustomerDetails!$A$1:$C$469,CustomerDetails!$P573,COLUMNS($Q587:R587)),"")</f>
        <v/>
      </c>
      <c r="S587" s="78" t="str">
        <f>IFERROR(INDEX(CustomerDetails!$A$1:$C$469,CustomerDetails!$P573,COLUMNS($Q587:S587)),"")</f>
        <v/>
      </c>
    </row>
    <row r="588" spans="1:19" x14ac:dyDescent="0.3">
      <c r="A588" s="79"/>
      <c r="B588" s="79"/>
      <c r="Q588" s="78" t="str">
        <f>IFERROR(INDEX(CustomerDetails!$A$1:$C$469,CustomerDetails!$P574,COLUMNS($Q588:Q588)),"")</f>
        <v/>
      </c>
      <c r="R588" s="78" t="str">
        <f>IFERROR(INDEX(CustomerDetails!$A$1:$C$469,CustomerDetails!$P574,COLUMNS($Q588:R588)),"")</f>
        <v/>
      </c>
      <c r="S588" s="78" t="str">
        <f>IFERROR(INDEX(CustomerDetails!$A$1:$C$469,CustomerDetails!$P574,COLUMNS($Q588:S588)),"")</f>
        <v/>
      </c>
    </row>
    <row r="589" spans="1:19" x14ac:dyDescent="0.3">
      <c r="A589" s="79"/>
      <c r="B589" s="79"/>
      <c r="Q589" s="78" t="str">
        <f>IFERROR(INDEX(CustomerDetails!$A$1:$C$469,CustomerDetails!$P575,COLUMNS($Q589:Q589)),"")</f>
        <v/>
      </c>
      <c r="R589" s="78" t="str">
        <f>IFERROR(INDEX(CustomerDetails!$A$1:$C$469,CustomerDetails!$P575,COLUMNS($Q589:R589)),"")</f>
        <v/>
      </c>
      <c r="S589" s="78" t="str">
        <f>IFERROR(INDEX(CustomerDetails!$A$1:$C$469,CustomerDetails!$P575,COLUMNS($Q589:S589)),"")</f>
        <v/>
      </c>
    </row>
    <row r="590" spans="1:19" x14ac:dyDescent="0.3">
      <c r="A590" s="79"/>
      <c r="B590" s="79"/>
      <c r="Q590" s="78" t="str">
        <f>IFERROR(INDEX(CustomerDetails!$A$1:$C$469,CustomerDetails!$P576,COLUMNS($Q590:Q590)),"")</f>
        <v/>
      </c>
      <c r="R590" s="78" t="str">
        <f>IFERROR(INDEX(CustomerDetails!$A$1:$C$469,CustomerDetails!$P576,COLUMNS($Q590:R590)),"")</f>
        <v/>
      </c>
      <c r="S590" s="78" t="str">
        <f>IFERROR(INDEX(CustomerDetails!$A$1:$C$469,CustomerDetails!$P576,COLUMNS($Q590:S590)),"")</f>
        <v/>
      </c>
    </row>
    <row r="591" spans="1:19" x14ac:dyDescent="0.3">
      <c r="A591" s="79"/>
      <c r="B591" s="79"/>
      <c r="Q591" s="78" t="str">
        <f>IFERROR(INDEX(CustomerDetails!$A$1:$C$469,CustomerDetails!$P577,COLUMNS($Q591:Q591)),"")</f>
        <v/>
      </c>
      <c r="R591" s="78" t="str">
        <f>IFERROR(INDEX(CustomerDetails!$A$1:$C$469,CustomerDetails!$P577,COLUMNS($Q591:R591)),"")</f>
        <v/>
      </c>
      <c r="S591" s="78" t="str">
        <f>IFERROR(INDEX(CustomerDetails!$A$1:$C$469,CustomerDetails!$P577,COLUMNS($Q591:S591)),"")</f>
        <v/>
      </c>
    </row>
    <row r="592" spans="1:19" x14ac:dyDescent="0.3">
      <c r="A592" s="79"/>
      <c r="B592" s="79"/>
      <c r="Q592" s="78" t="str">
        <f>IFERROR(INDEX(CustomerDetails!$A$1:$C$469,CustomerDetails!$P578,COLUMNS($Q592:Q592)),"")</f>
        <v/>
      </c>
      <c r="R592" s="78" t="str">
        <f>IFERROR(INDEX(CustomerDetails!$A$1:$C$469,CustomerDetails!$P578,COLUMNS($Q592:R592)),"")</f>
        <v/>
      </c>
      <c r="S592" s="78" t="str">
        <f>IFERROR(INDEX(CustomerDetails!$A$1:$C$469,CustomerDetails!$P578,COLUMNS($Q592:S592)),"")</f>
        <v/>
      </c>
    </row>
    <row r="593" spans="1:19" x14ac:dyDescent="0.3">
      <c r="A593" s="79"/>
      <c r="B593" s="79"/>
      <c r="Q593" s="78" t="str">
        <f>IFERROR(INDEX(CustomerDetails!$A$1:$C$469,CustomerDetails!$P579,COLUMNS($Q593:Q593)),"")</f>
        <v/>
      </c>
      <c r="R593" s="78" t="str">
        <f>IFERROR(INDEX(CustomerDetails!$A$1:$C$469,CustomerDetails!$P579,COLUMNS($Q593:R593)),"")</f>
        <v/>
      </c>
      <c r="S593" s="78" t="str">
        <f>IFERROR(INDEX(CustomerDetails!$A$1:$C$469,CustomerDetails!$P579,COLUMNS($Q593:S593)),"")</f>
        <v/>
      </c>
    </row>
    <row r="594" spans="1:19" x14ac:dyDescent="0.3">
      <c r="A594" s="79"/>
      <c r="B594" s="79"/>
      <c r="Q594" s="78" t="str">
        <f>IFERROR(INDEX(CustomerDetails!$A$1:$C$469,CustomerDetails!$P580,COLUMNS($Q594:Q594)),"")</f>
        <v/>
      </c>
      <c r="R594" s="78" t="str">
        <f>IFERROR(INDEX(CustomerDetails!$A$1:$C$469,CustomerDetails!$P580,COLUMNS($Q594:R594)),"")</f>
        <v/>
      </c>
      <c r="S594" s="78" t="str">
        <f>IFERROR(INDEX(CustomerDetails!$A$1:$C$469,CustomerDetails!$P580,COLUMNS($Q594:S594)),"")</f>
        <v/>
      </c>
    </row>
    <row r="595" spans="1:19" x14ac:dyDescent="0.3">
      <c r="A595" s="79"/>
      <c r="B595" s="79"/>
      <c r="Q595" s="78" t="str">
        <f>IFERROR(INDEX(CustomerDetails!$A$1:$C$469,CustomerDetails!$P581,COLUMNS($Q595:Q595)),"")</f>
        <v/>
      </c>
      <c r="R595" s="78" t="str">
        <f>IFERROR(INDEX(CustomerDetails!$A$1:$C$469,CustomerDetails!$P581,COLUMNS($Q595:R595)),"")</f>
        <v/>
      </c>
      <c r="S595" s="78" t="str">
        <f>IFERROR(INDEX(CustomerDetails!$A$1:$C$469,CustomerDetails!$P581,COLUMNS($Q595:S595)),"")</f>
        <v/>
      </c>
    </row>
    <row r="596" spans="1:19" x14ac:dyDescent="0.3">
      <c r="A596" s="79"/>
      <c r="B596" s="79"/>
      <c r="Q596" s="78" t="str">
        <f>IFERROR(INDEX(CustomerDetails!$A$1:$C$469,CustomerDetails!$P582,COLUMNS($Q596:Q596)),"")</f>
        <v/>
      </c>
      <c r="R596" s="78" t="str">
        <f>IFERROR(INDEX(CustomerDetails!$A$1:$C$469,CustomerDetails!$P582,COLUMNS($Q596:R596)),"")</f>
        <v/>
      </c>
      <c r="S596" s="78" t="str">
        <f>IFERROR(INDEX(CustomerDetails!$A$1:$C$469,CustomerDetails!$P582,COLUMNS($Q596:S596)),"")</f>
        <v/>
      </c>
    </row>
    <row r="597" spans="1:19" x14ac:dyDescent="0.3">
      <c r="A597" s="79"/>
      <c r="B597" s="79"/>
      <c r="Q597" s="78" t="str">
        <f>IFERROR(INDEX(CustomerDetails!$A$1:$C$469,CustomerDetails!$P583,COLUMNS($Q597:Q597)),"")</f>
        <v/>
      </c>
      <c r="R597" s="78" t="str">
        <f>IFERROR(INDEX(CustomerDetails!$A$1:$C$469,CustomerDetails!$P583,COLUMNS($Q597:R597)),"")</f>
        <v/>
      </c>
      <c r="S597" s="78" t="str">
        <f>IFERROR(INDEX(CustomerDetails!$A$1:$C$469,CustomerDetails!$P583,COLUMNS($Q597:S597)),"")</f>
        <v/>
      </c>
    </row>
    <row r="598" spans="1:19" x14ac:dyDescent="0.3">
      <c r="A598" s="79"/>
      <c r="B598" s="79"/>
      <c r="Q598" s="78" t="str">
        <f>IFERROR(INDEX(CustomerDetails!$A$1:$C$469,CustomerDetails!$P584,COLUMNS($Q598:Q598)),"")</f>
        <v/>
      </c>
      <c r="R598" s="78" t="str">
        <f>IFERROR(INDEX(CustomerDetails!$A$1:$C$469,CustomerDetails!$P584,COLUMNS($Q598:R598)),"")</f>
        <v/>
      </c>
      <c r="S598" s="78" t="str">
        <f>IFERROR(INDEX(CustomerDetails!$A$1:$C$469,CustomerDetails!$P584,COLUMNS($Q598:S598)),"")</f>
        <v/>
      </c>
    </row>
    <row r="599" spans="1:19" x14ac:dyDescent="0.3">
      <c r="A599" s="79"/>
      <c r="B599" s="79"/>
      <c r="Q599" s="78" t="str">
        <f>IFERROR(INDEX(CustomerDetails!$A$1:$C$469,CustomerDetails!$P585,COLUMNS($Q599:Q599)),"")</f>
        <v/>
      </c>
      <c r="R599" s="78" t="str">
        <f>IFERROR(INDEX(CustomerDetails!$A$1:$C$469,CustomerDetails!$P585,COLUMNS($Q599:R599)),"")</f>
        <v/>
      </c>
      <c r="S599" s="78" t="str">
        <f>IFERROR(INDEX(CustomerDetails!$A$1:$C$469,CustomerDetails!$P585,COLUMNS($Q599:S599)),"")</f>
        <v/>
      </c>
    </row>
    <row r="600" spans="1:19" x14ac:dyDescent="0.3">
      <c r="A600" s="79"/>
      <c r="B600" s="79"/>
      <c r="Q600" s="78" t="str">
        <f>IFERROR(INDEX(CustomerDetails!$A$1:$C$469,CustomerDetails!$P586,COLUMNS($Q600:Q600)),"")</f>
        <v/>
      </c>
      <c r="R600" s="78" t="str">
        <f>IFERROR(INDEX(CustomerDetails!$A$1:$C$469,CustomerDetails!$P586,COLUMNS($Q600:R600)),"")</f>
        <v/>
      </c>
      <c r="S600" s="78" t="str">
        <f>IFERROR(INDEX(CustomerDetails!$A$1:$C$469,CustomerDetails!$P586,COLUMNS($Q600:S600)),"")</f>
        <v/>
      </c>
    </row>
    <row r="601" spans="1:19" x14ac:dyDescent="0.3">
      <c r="A601" s="79"/>
      <c r="B601" s="79"/>
      <c r="Q601" s="78" t="str">
        <f>IFERROR(INDEX(CustomerDetails!$A$1:$C$469,CustomerDetails!$P587,COLUMNS($Q601:Q601)),"")</f>
        <v/>
      </c>
      <c r="R601" s="78" t="str">
        <f>IFERROR(INDEX(CustomerDetails!$A$1:$C$469,CustomerDetails!$P587,COLUMNS($Q601:R601)),"")</f>
        <v/>
      </c>
      <c r="S601" s="78" t="str">
        <f>IFERROR(INDEX(CustomerDetails!$A$1:$C$469,CustomerDetails!$P587,COLUMNS($Q601:S601)),"")</f>
        <v/>
      </c>
    </row>
    <row r="602" spans="1:19" x14ac:dyDescent="0.3">
      <c r="A602" s="79"/>
      <c r="B602" s="79"/>
      <c r="Q602" s="78" t="str">
        <f>IFERROR(INDEX(CustomerDetails!$A$1:$C$469,CustomerDetails!$P588,COLUMNS($Q602:Q602)),"")</f>
        <v/>
      </c>
      <c r="R602" s="78" t="str">
        <f>IFERROR(INDEX(CustomerDetails!$A$1:$C$469,CustomerDetails!$P588,COLUMNS($Q602:R602)),"")</f>
        <v/>
      </c>
      <c r="S602" s="78" t="str">
        <f>IFERROR(INDEX(CustomerDetails!$A$1:$C$469,CustomerDetails!$P588,COLUMNS($Q602:S602)),"")</f>
        <v/>
      </c>
    </row>
    <row r="603" spans="1:19" x14ac:dyDescent="0.3">
      <c r="A603" s="79"/>
      <c r="B603" s="79"/>
      <c r="Q603" s="78" t="str">
        <f>IFERROR(INDEX(CustomerDetails!$A$1:$C$469,CustomerDetails!$P589,COLUMNS($Q603:Q603)),"")</f>
        <v/>
      </c>
      <c r="R603" s="78" t="str">
        <f>IFERROR(INDEX(CustomerDetails!$A$1:$C$469,CustomerDetails!$P589,COLUMNS($Q603:R603)),"")</f>
        <v/>
      </c>
      <c r="S603" s="78" t="str">
        <f>IFERROR(INDEX(CustomerDetails!$A$1:$C$469,CustomerDetails!$P589,COLUMNS($Q603:S603)),"")</f>
        <v/>
      </c>
    </row>
    <row r="604" spans="1:19" x14ac:dyDescent="0.3">
      <c r="A604" s="79"/>
      <c r="B604" s="79"/>
      <c r="Q604" s="78" t="str">
        <f>IFERROR(INDEX(CustomerDetails!$A$1:$C$469,CustomerDetails!$P590,COLUMNS($Q604:Q604)),"")</f>
        <v/>
      </c>
      <c r="R604" s="78" t="str">
        <f>IFERROR(INDEX(CustomerDetails!$A$1:$C$469,CustomerDetails!$P590,COLUMNS($Q604:R604)),"")</f>
        <v/>
      </c>
      <c r="S604" s="78" t="str">
        <f>IFERROR(INDEX(CustomerDetails!$A$1:$C$469,CustomerDetails!$P590,COLUMNS($Q604:S604)),"")</f>
        <v/>
      </c>
    </row>
    <row r="605" spans="1:19" x14ac:dyDescent="0.3">
      <c r="A605" s="79"/>
      <c r="B605" s="79"/>
      <c r="Q605" s="78" t="str">
        <f>IFERROR(INDEX(CustomerDetails!$A$1:$C$469,CustomerDetails!$P591,COLUMNS($Q605:Q605)),"")</f>
        <v/>
      </c>
      <c r="R605" s="78" t="str">
        <f>IFERROR(INDEX(CustomerDetails!$A$1:$C$469,CustomerDetails!$P591,COLUMNS($Q605:R605)),"")</f>
        <v/>
      </c>
      <c r="S605" s="78" t="str">
        <f>IFERROR(INDEX(CustomerDetails!$A$1:$C$469,CustomerDetails!$P591,COLUMNS($Q605:S605)),"")</f>
        <v/>
      </c>
    </row>
    <row r="606" spans="1:19" x14ac:dyDescent="0.3">
      <c r="A606" s="79"/>
      <c r="B606" s="79"/>
      <c r="Q606" s="78" t="str">
        <f>IFERROR(INDEX(CustomerDetails!$A$1:$C$469,CustomerDetails!$P592,COLUMNS($Q606:Q606)),"")</f>
        <v/>
      </c>
      <c r="R606" s="78" t="str">
        <f>IFERROR(INDEX(CustomerDetails!$A$1:$C$469,CustomerDetails!$P592,COLUMNS($Q606:R606)),"")</f>
        <v/>
      </c>
      <c r="S606" s="78" t="str">
        <f>IFERROR(INDEX(CustomerDetails!$A$1:$C$469,CustomerDetails!$P592,COLUMNS($Q606:S606)),"")</f>
        <v/>
      </c>
    </row>
    <row r="607" spans="1:19" x14ac:dyDescent="0.3">
      <c r="A607" s="79"/>
      <c r="B607" s="79"/>
      <c r="Q607" s="78" t="str">
        <f>IFERROR(INDEX(CustomerDetails!$A$1:$C$469,CustomerDetails!$P593,COLUMNS($Q607:Q607)),"")</f>
        <v/>
      </c>
      <c r="R607" s="78" t="str">
        <f>IFERROR(INDEX(CustomerDetails!$A$1:$C$469,CustomerDetails!$P593,COLUMNS($Q607:R607)),"")</f>
        <v/>
      </c>
      <c r="S607" s="78" t="str">
        <f>IFERROR(INDEX(CustomerDetails!$A$1:$C$469,CustomerDetails!$P593,COLUMNS($Q607:S607)),"")</f>
        <v/>
      </c>
    </row>
    <row r="608" spans="1:19" x14ac:dyDescent="0.3">
      <c r="A608" s="79"/>
      <c r="B608" s="79"/>
      <c r="Q608" s="78" t="str">
        <f>IFERROR(INDEX(CustomerDetails!$A$1:$C$469,CustomerDetails!$P594,COLUMNS($Q608:Q608)),"")</f>
        <v/>
      </c>
      <c r="R608" s="78" t="str">
        <f>IFERROR(INDEX(CustomerDetails!$A$1:$C$469,CustomerDetails!$P594,COLUMNS($Q608:R608)),"")</f>
        <v/>
      </c>
      <c r="S608" s="78" t="str">
        <f>IFERROR(INDEX(CustomerDetails!$A$1:$C$469,CustomerDetails!$P594,COLUMNS($Q608:S608)),"")</f>
        <v/>
      </c>
    </row>
    <row r="609" spans="1:19" x14ac:dyDescent="0.3">
      <c r="A609" s="79"/>
      <c r="B609" s="79"/>
      <c r="Q609" s="78" t="str">
        <f>IFERROR(INDEX(CustomerDetails!$A$1:$C$469,CustomerDetails!$P595,COLUMNS($Q609:Q609)),"")</f>
        <v/>
      </c>
      <c r="R609" s="78" t="str">
        <f>IFERROR(INDEX(CustomerDetails!$A$1:$C$469,CustomerDetails!$P595,COLUMNS($Q609:R609)),"")</f>
        <v/>
      </c>
      <c r="S609" s="78" t="str">
        <f>IFERROR(INDEX(CustomerDetails!$A$1:$C$469,CustomerDetails!$P595,COLUMNS($Q609:S609)),"")</f>
        <v/>
      </c>
    </row>
    <row r="610" spans="1:19" x14ac:dyDescent="0.3">
      <c r="A610" s="79"/>
      <c r="B610" s="79"/>
      <c r="Q610" s="78" t="str">
        <f>IFERROR(INDEX(CustomerDetails!$A$1:$C$469,CustomerDetails!$P596,COLUMNS($Q610:Q610)),"")</f>
        <v/>
      </c>
      <c r="R610" s="78" t="str">
        <f>IFERROR(INDEX(CustomerDetails!$A$1:$C$469,CustomerDetails!$P596,COLUMNS($Q610:R610)),"")</f>
        <v/>
      </c>
      <c r="S610" s="78" t="str">
        <f>IFERROR(INDEX(CustomerDetails!$A$1:$C$469,CustomerDetails!$P596,COLUMNS($Q610:S610)),"")</f>
        <v/>
      </c>
    </row>
    <row r="611" spans="1:19" x14ac:dyDescent="0.3">
      <c r="A611" s="79"/>
      <c r="B611" s="79"/>
      <c r="Q611" s="78" t="str">
        <f>IFERROR(INDEX(CustomerDetails!$A$1:$C$469,CustomerDetails!$P597,COLUMNS($Q611:Q611)),"")</f>
        <v/>
      </c>
      <c r="R611" s="78" t="str">
        <f>IFERROR(INDEX(CustomerDetails!$A$1:$C$469,CustomerDetails!$P597,COLUMNS($Q611:R611)),"")</f>
        <v/>
      </c>
      <c r="S611" s="78" t="str">
        <f>IFERROR(INDEX(CustomerDetails!$A$1:$C$469,CustomerDetails!$P597,COLUMNS($Q611:S611)),"")</f>
        <v/>
      </c>
    </row>
    <row r="612" spans="1:19" x14ac:dyDescent="0.3">
      <c r="A612" s="79"/>
      <c r="B612" s="79"/>
      <c r="Q612" s="78" t="str">
        <f>IFERROR(INDEX(CustomerDetails!$A$1:$C$469,CustomerDetails!$P598,COLUMNS($Q612:Q612)),"")</f>
        <v/>
      </c>
      <c r="R612" s="78" t="str">
        <f>IFERROR(INDEX(CustomerDetails!$A$1:$C$469,CustomerDetails!$P598,COLUMNS($Q612:R612)),"")</f>
        <v/>
      </c>
      <c r="S612" s="78" t="str">
        <f>IFERROR(INDEX(CustomerDetails!$A$1:$C$469,CustomerDetails!$P598,COLUMNS($Q612:S612)),"")</f>
        <v/>
      </c>
    </row>
    <row r="613" spans="1:19" x14ac:dyDescent="0.3">
      <c r="A613" s="79"/>
      <c r="B613" s="79"/>
      <c r="Q613" s="78" t="str">
        <f>IFERROR(INDEX(CustomerDetails!$A$1:$C$469,CustomerDetails!$P599,COLUMNS($Q613:Q613)),"")</f>
        <v/>
      </c>
      <c r="R613" s="78" t="str">
        <f>IFERROR(INDEX(CustomerDetails!$A$1:$C$469,CustomerDetails!$P599,COLUMNS($Q613:R613)),"")</f>
        <v/>
      </c>
      <c r="S613" s="78" t="str">
        <f>IFERROR(INDEX(CustomerDetails!$A$1:$C$469,CustomerDetails!$P599,COLUMNS($Q613:S613)),"")</f>
        <v/>
      </c>
    </row>
    <row r="614" spans="1:19" x14ac:dyDescent="0.3">
      <c r="A614" s="79"/>
      <c r="B614" s="79"/>
      <c r="Q614" s="78" t="str">
        <f>IFERROR(INDEX(CustomerDetails!$A$1:$C$469,CustomerDetails!$P600,COLUMNS($Q614:Q614)),"")</f>
        <v/>
      </c>
      <c r="R614" s="78" t="str">
        <f>IFERROR(INDEX(CustomerDetails!$A$1:$C$469,CustomerDetails!$P600,COLUMNS($Q614:R614)),"")</f>
        <v/>
      </c>
      <c r="S614" s="78" t="str">
        <f>IFERROR(INDEX(CustomerDetails!$A$1:$C$469,CustomerDetails!$P600,COLUMNS($Q614:S614)),"")</f>
        <v/>
      </c>
    </row>
    <row r="615" spans="1:19" x14ac:dyDescent="0.3">
      <c r="A615" s="79"/>
      <c r="B615" s="79"/>
      <c r="Q615" s="78" t="str">
        <f>IFERROR(INDEX(CustomerDetails!$A$1:$C$469,CustomerDetails!$P601,COLUMNS($Q615:Q615)),"")</f>
        <v/>
      </c>
      <c r="R615" s="78" t="str">
        <f>IFERROR(INDEX(CustomerDetails!$A$1:$C$469,CustomerDetails!$P601,COLUMNS($Q615:R615)),"")</f>
        <v/>
      </c>
      <c r="S615" s="78" t="str">
        <f>IFERROR(INDEX(CustomerDetails!$A$1:$C$469,CustomerDetails!$P601,COLUMNS($Q615:S615)),"")</f>
        <v/>
      </c>
    </row>
    <row r="616" spans="1:19" x14ac:dyDescent="0.3">
      <c r="A616" s="79"/>
      <c r="B616" s="79"/>
      <c r="Q616" s="78" t="str">
        <f>IFERROR(INDEX(CustomerDetails!$A$1:$C$469,CustomerDetails!$P602,COLUMNS($Q616:Q616)),"")</f>
        <v/>
      </c>
      <c r="R616" s="78" t="str">
        <f>IFERROR(INDEX(CustomerDetails!$A$1:$C$469,CustomerDetails!$P602,COLUMNS($Q616:R616)),"")</f>
        <v/>
      </c>
      <c r="S616" s="78" t="str">
        <f>IFERROR(INDEX(CustomerDetails!$A$1:$C$469,CustomerDetails!$P602,COLUMNS($Q616:S616)),"")</f>
        <v/>
      </c>
    </row>
    <row r="617" spans="1:19" x14ac:dyDescent="0.3">
      <c r="A617" s="79"/>
      <c r="B617" s="79"/>
      <c r="Q617" s="78" t="str">
        <f>IFERROR(INDEX(CustomerDetails!$A$1:$C$469,CustomerDetails!$P603,COLUMNS($Q617:Q617)),"")</f>
        <v/>
      </c>
      <c r="R617" s="78" t="str">
        <f>IFERROR(INDEX(CustomerDetails!$A$1:$C$469,CustomerDetails!$P603,COLUMNS($Q617:R617)),"")</f>
        <v/>
      </c>
      <c r="S617" s="78" t="str">
        <f>IFERROR(INDEX(CustomerDetails!$A$1:$C$469,CustomerDetails!$P603,COLUMNS($Q617:S617)),"")</f>
        <v/>
      </c>
    </row>
    <row r="618" spans="1:19" x14ac:dyDescent="0.3">
      <c r="A618" s="79"/>
      <c r="B618" s="79"/>
      <c r="Q618" s="78" t="str">
        <f>IFERROR(INDEX(CustomerDetails!$A$1:$C$469,CustomerDetails!$P604,COLUMNS($Q618:Q618)),"")</f>
        <v/>
      </c>
      <c r="R618" s="78" t="str">
        <f>IFERROR(INDEX(CustomerDetails!$A$1:$C$469,CustomerDetails!$P604,COLUMNS($Q618:R618)),"")</f>
        <v/>
      </c>
      <c r="S618" s="78" t="str">
        <f>IFERROR(INDEX(CustomerDetails!$A$1:$C$469,CustomerDetails!$P604,COLUMNS($Q618:S618)),"")</f>
        <v/>
      </c>
    </row>
    <row r="619" spans="1:19" x14ac:dyDescent="0.3">
      <c r="A619" s="79"/>
      <c r="B619" s="79"/>
      <c r="Q619" s="78" t="str">
        <f>IFERROR(INDEX(CustomerDetails!$A$1:$C$469,CustomerDetails!$P605,COLUMNS($Q619:Q619)),"")</f>
        <v/>
      </c>
      <c r="R619" s="78" t="str">
        <f>IFERROR(INDEX(CustomerDetails!$A$1:$C$469,CustomerDetails!$P605,COLUMNS($Q619:R619)),"")</f>
        <v/>
      </c>
      <c r="S619" s="78" t="str">
        <f>IFERROR(INDEX(CustomerDetails!$A$1:$C$469,CustomerDetails!$P605,COLUMNS($Q619:S619)),"")</f>
        <v/>
      </c>
    </row>
    <row r="620" spans="1:19" x14ac:dyDescent="0.3">
      <c r="A620" s="79"/>
      <c r="B620" s="79"/>
      <c r="Q620" s="78" t="str">
        <f>IFERROR(INDEX(CustomerDetails!$A$1:$C$469,CustomerDetails!$P606,COLUMNS($Q620:Q620)),"")</f>
        <v/>
      </c>
      <c r="R620" s="78" t="str">
        <f>IFERROR(INDEX(CustomerDetails!$A$1:$C$469,CustomerDetails!$P606,COLUMNS($Q620:R620)),"")</f>
        <v/>
      </c>
      <c r="S620" s="78" t="str">
        <f>IFERROR(INDEX(CustomerDetails!$A$1:$C$469,CustomerDetails!$P606,COLUMNS($Q620:S620)),"")</f>
        <v/>
      </c>
    </row>
    <row r="621" spans="1:19" x14ac:dyDescent="0.3">
      <c r="A621" s="79"/>
      <c r="B621" s="79"/>
      <c r="Q621" s="78" t="str">
        <f>IFERROR(INDEX(CustomerDetails!$A$1:$C$469,CustomerDetails!$P607,COLUMNS($Q621:Q621)),"")</f>
        <v/>
      </c>
      <c r="R621" s="78" t="str">
        <f>IFERROR(INDEX(CustomerDetails!$A$1:$C$469,CustomerDetails!$P607,COLUMNS($Q621:R621)),"")</f>
        <v/>
      </c>
      <c r="S621" s="78" t="str">
        <f>IFERROR(INDEX(CustomerDetails!$A$1:$C$469,CustomerDetails!$P607,COLUMNS($Q621:S621)),"")</f>
        <v/>
      </c>
    </row>
    <row r="622" spans="1:19" x14ac:dyDescent="0.3">
      <c r="A622" s="79"/>
      <c r="B622" s="79"/>
      <c r="Q622" s="78" t="str">
        <f>IFERROR(INDEX(CustomerDetails!$A$1:$C$469,CustomerDetails!$P608,COLUMNS($Q622:Q622)),"")</f>
        <v/>
      </c>
      <c r="R622" s="78" t="str">
        <f>IFERROR(INDEX(CustomerDetails!$A$1:$C$469,CustomerDetails!$P608,COLUMNS($Q622:R622)),"")</f>
        <v/>
      </c>
      <c r="S622" s="78" t="str">
        <f>IFERROR(INDEX(CustomerDetails!$A$1:$C$469,CustomerDetails!$P608,COLUMNS($Q622:S622)),"")</f>
        <v/>
      </c>
    </row>
    <row r="623" spans="1:19" x14ac:dyDescent="0.3">
      <c r="A623" s="79"/>
      <c r="B623" s="79"/>
      <c r="Q623" s="78" t="str">
        <f>IFERROR(INDEX(CustomerDetails!$A$1:$C$469,CustomerDetails!$P609,COLUMNS($Q623:Q623)),"")</f>
        <v/>
      </c>
      <c r="R623" s="78" t="str">
        <f>IFERROR(INDEX(CustomerDetails!$A$1:$C$469,CustomerDetails!$P609,COLUMNS($Q623:R623)),"")</f>
        <v/>
      </c>
      <c r="S623" s="78" t="str">
        <f>IFERROR(INDEX(CustomerDetails!$A$1:$C$469,CustomerDetails!$P609,COLUMNS($Q623:S623)),"")</f>
        <v/>
      </c>
    </row>
    <row r="624" spans="1:19" x14ac:dyDescent="0.3">
      <c r="A624" s="79"/>
      <c r="B624" s="79"/>
      <c r="Q624" s="78" t="str">
        <f>IFERROR(INDEX(CustomerDetails!$A$1:$C$469,CustomerDetails!$P610,COLUMNS($Q624:Q624)),"")</f>
        <v/>
      </c>
      <c r="R624" s="78" t="str">
        <f>IFERROR(INDEX(CustomerDetails!$A$1:$C$469,CustomerDetails!$P610,COLUMNS($Q624:R624)),"")</f>
        <v/>
      </c>
      <c r="S624" s="78" t="str">
        <f>IFERROR(INDEX(CustomerDetails!$A$1:$C$469,CustomerDetails!$P610,COLUMNS($Q624:S624)),"")</f>
        <v/>
      </c>
    </row>
    <row r="625" spans="1:19" x14ac:dyDescent="0.3">
      <c r="A625" s="79"/>
      <c r="B625" s="79"/>
      <c r="Q625" s="78" t="str">
        <f>IFERROR(INDEX(CustomerDetails!$A$1:$C$469,CustomerDetails!$P611,COLUMNS($Q625:Q625)),"")</f>
        <v/>
      </c>
      <c r="R625" s="78" t="str">
        <f>IFERROR(INDEX(CustomerDetails!$A$1:$C$469,CustomerDetails!$P611,COLUMNS($Q625:R625)),"")</f>
        <v/>
      </c>
      <c r="S625" s="78" t="str">
        <f>IFERROR(INDEX(CustomerDetails!$A$1:$C$469,CustomerDetails!$P611,COLUMNS($Q625:S625)),"")</f>
        <v/>
      </c>
    </row>
    <row r="626" spans="1:19" x14ac:dyDescent="0.3">
      <c r="A626" s="79"/>
      <c r="B626" s="79"/>
      <c r="Q626" s="78" t="str">
        <f>IFERROR(INDEX(CustomerDetails!$A$1:$C$469,CustomerDetails!$P612,COLUMNS($Q626:Q626)),"")</f>
        <v/>
      </c>
      <c r="R626" s="78" t="str">
        <f>IFERROR(INDEX(CustomerDetails!$A$1:$C$469,CustomerDetails!$P612,COLUMNS($Q626:R626)),"")</f>
        <v/>
      </c>
      <c r="S626" s="78" t="str">
        <f>IFERROR(INDEX(CustomerDetails!$A$1:$C$469,CustomerDetails!$P612,COLUMNS($Q626:S626)),"")</f>
        <v/>
      </c>
    </row>
    <row r="627" spans="1:19" x14ac:dyDescent="0.3">
      <c r="A627" s="79"/>
      <c r="B627" s="79"/>
      <c r="Q627" s="78" t="str">
        <f>IFERROR(INDEX(CustomerDetails!$A$1:$C$469,CustomerDetails!$P613,COLUMNS($Q627:Q627)),"")</f>
        <v/>
      </c>
      <c r="R627" s="78" t="str">
        <f>IFERROR(INDEX(CustomerDetails!$A$1:$C$469,CustomerDetails!$P613,COLUMNS($Q627:R627)),"")</f>
        <v/>
      </c>
      <c r="S627" s="78" t="str">
        <f>IFERROR(INDEX(CustomerDetails!$A$1:$C$469,CustomerDetails!$P613,COLUMNS($Q627:S627)),"")</f>
        <v/>
      </c>
    </row>
    <row r="628" spans="1:19" x14ac:dyDescent="0.3">
      <c r="A628" s="79"/>
      <c r="B628" s="79"/>
      <c r="Q628" s="78" t="str">
        <f>IFERROR(INDEX(CustomerDetails!$A$1:$C$469,CustomerDetails!$P614,COLUMNS($Q628:Q628)),"")</f>
        <v/>
      </c>
      <c r="R628" s="78" t="str">
        <f>IFERROR(INDEX(CustomerDetails!$A$1:$C$469,CustomerDetails!$P614,COLUMNS($Q628:R628)),"")</f>
        <v/>
      </c>
      <c r="S628" s="78" t="str">
        <f>IFERROR(INDEX(CustomerDetails!$A$1:$C$469,CustomerDetails!$P614,COLUMNS($Q628:S628)),"")</f>
        <v/>
      </c>
    </row>
    <row r="629" spans="1:19" x14ac:dyDescent="0.3">
      <c r="A629" s="79"/>
      <c r="B629" s="79"/>
      <c r="Q629" s="78" t="str">
        <f>IFERROR(INDEX(CustomerDetails!$A$1:$C$469,CustomerDetails!$P615,COLUMNS($Q629:Q629)),"")</f>
        <v/>
      </c>
      <c r="R629" s="78" t="str">
        <f>IFERROR(INDEX(CustomerDetails!$A$1:$C$469,CustomerDetails!$P615,COLUMNS($Q629:R629)),"")</f>
        <v/>
      </c>
      <c r="S629" s="78" t="str">
        <f>IFERROR(INDEX(CustomerDetails!$A$1:$C$469,CustomerDetails!$P615,COLUMNS($Q629:S629)),"")</f>
        <v/>
      </c>
    </row>
    <row r="630" spans="1:19" x14ac:dyDescent="0.3">
      <c r="A630" s="79"/>
      <c r="B630" s="79"/>
      <c r="Q630" s="78" t="str">
        <f>IFERROR(INDEX(CustomerDetails!$A$1:$C$469,CustomerDetails!$P616,COLUMNS($Q630:Q630)),"")</f>
        <v/>
      </c>
      <c r="R630" s="78" t="str">
        <f>IFERROR(INDEX(CustomerDetails!$A$1:$C$469,CustomerDetails!$P616,COLUMNS($Q630:R630)),"")</f>
        <v/>
      </c>
      <c r="S630" s="78" t="str">
        <f>IFERROR(INDEX(CustomerDetails!$A$1:$C$469,CustomerDetails!$P616,COLUMNS($Q630:S630)),"")</f>
        <v/>
      </c>
    </row>
    <row r="631" spans="1:19" x14ac:dyDescent="0.3">
      <c r="A631" s="79"/>
      <c r="B631" s="79"/>
      <c r="Q631" s="78" t="str">
        <f>IFERROR(INDEX(CustomerDetails!$A$1:$C$469,CustomerDetails!$P617,COLUMNS($Q631:Q631)),"")</f>
        <v/>
      </c>
      <c r="R631" s="78" t="str">
        <f>IFERROR(INDEX(CustomerDetails!$A$1:$C$469,CustomerDetails!$P617,COLUMNS($Q631:R631)),"")</f>
        <v/>
      </c>
      <c r="S631" s="78" t="str">
        <f>IFERROR(INDEX(CustomerDetails!$A$1:$C$469,CustomerDetails!$P617,COLUMNS($Q631:S631)),"")</f>
        <v/>
      </c>
    </row>
    <row r="632" spans="1:19" x14ac:dyDescent="0.3">
      <c r="A632" s="79"/>
      <c r="B632" s="79"/>
      <c r="Q632" s="78" t="str">
        <f>IFERROR(INDEX(CustomerDetails!$A$1:$C$469,CustomerDetails!$P618,COLUMNS($Q632:Q632)),"")</f>
        <v/>
      </c>
      <c r="R632" s="78" t="str">
        <f>IFERROR(INDEX(CustomerDetails!$A$1:$C$469,CustomerDetails!$P618,COLUMNS($Q632:R632)),"")</f>
        <v/>
      </c>
      <c r="S632" s="78" t="str">
        <f>IFERROR(INDEX(CustomerDetails!$A$1:$C$469,CustomerDetails!$P618,COLUMNS($Q632:S632)),"")</f>
        <v/>
      </c>
    </row>
    <row r="633" spans="1:19" x14ac:dyDescent="0.3">
      <c r="A633" s="79"/>
      <c r="B633" s="79"/>
      <c r="Q633" s="78" t="str">
        <f>IFERROR(INDEX(CustomerDetails!$A$1:$C$469,CustomerDetails!$P619,COLUMNS($Q633:Q633)),"")</f>
        <v/>
      </c>
      <c r="R633" s="78" t="str">
        <f>IFERROR(INDEX(CustomerDetails!$A$1:$C$469,CustomerDetails!$P619,COLUMNS($Q633:R633)),"")</f>
        <v/>
      </c>
      <c r="S633" s="78" t="str">
        <f>IFERROR(INDEX(CustomerDetails!$A$1:$C$469,CustomerDetails!$P619,COLUMNS($Q633:S633)),"")</f>
        <v/>
      </c>
    </row>
    <row r="634" spans="1:19" x14ac:dyDescent="0.3">
      <c r="A634" s="79"/>
      <c r="B634" s="79"/>
      <c r="Q634" s="78" t="str">
        <f>IFERROR(INDEX(CustomerDetails!$A$1:$C$469,CustomerDetails!$P620,COLUMNS($Q634:Q634)),"")</f>
        <v/>
      </c>
      <c r="R634" s="78" t="str">
        <f>IFERROR(INDEX(CustomerDetails!$A$1:$C$469,CustomerDetails!$P620,COLUMNS($Q634:R634)),"")</f>
        <v/>
      </c>
      <c r="S634" s="78" t="str">
        <f>IFERROR(INDEX(CustomerDetails!$A$1:$C$469,CustomerDetails!$P620,COLUMNS($Q634:S634)),"")</f>
        <v/>
      </c>
    </row>
    <row r="635" spans="1:19" x14ac:dyDescent="0.3">
      <c r="A635" s="79"/>
      <c r="B635" s="79"/>
      <c r="Q635" s="78" t="str">
        <f>IFERROR(INDEX(CustomerDetails!$A$1:$C$469,CustomerDetails!$P621,COLUMNS($Q635:Q635)),"")</f>
        <v/>
      </c>
      <c r="R635" s="78" t="str">
        <f>IFERROR(INDEX(CustomerDetails!$A$1:$C$469,CustomerDetails!$P621,COLUMNS($Q635:R635)),"")</f>
        <v/>
      </c>
      <c r="S635" s="78" t="str">
        <f>IFERROR(INDEX(CustomerDetails!$A$1:$C$469,CustomerDetails!$P621,COLUMNS($Q635:S635)),"")</f>
        <v/>
      </c>
    </row>
    <row r="636" spans="1:19" x14ac:dyDescent="0.3">
      <c r="A636" s="79"/>
      <c r="B636" s="79"/>
      <c r="Q636" s="78" t="str">
        <f>IFERROR(INDEX(CustomerDetails!$A$1:$C$469,CustomerDetails!$P622,COLUMNS($Q636:Q636)),"")</f>
        <v/>
      </c>
      <c r="R636" s="78" t="str">
        <f>IFERROR(INDEX(CustomerDetails!$A$1:$C$469,CustomerDetails!$P622,COLUMNS($Q636:R636)),"")</f>
        <v/>
      </c>
      <c r="S636" s="78" t="str">
        <f>IFERROR(INDEX(CustomerDetails!$A$1:$C$469,CustomerDetails!$P622,COLUMNS($Q636:S636)),"")</f>
        <v/>
      </c>
    </row>
    <row r="637" spans="1:19" x14ac:dyDescent="0.3">
      <c r="A637" s="79"/>
      <c r="B637" s="79"/>
      <c r="Q637" s="78" t="str">
        <f>IFERROR(INDEX(CustomerDetails!$A$1:$C$469,CustomerDetails!$P623,COLUMNS($Q637:Q637)),"")</f>
        <v/>
      </c>
      <c r="R637" s="78" t="str">
        <f>IFERROR(INDEX(CustomerDetails!$A$1:$C$469,CustomerDetails!$P623,COLUMNS($Q637:R637)),"")</f>
        <v/>
      </c>
      <c r="S637" s="78" t="str">
        <f>IFERROR(INDEX(CustomerDetails!$A$1:$C$469,CustomerDetails!$P623,COLUMNS($Q637:S637)),"")</f>
        <v/>
      </c>
    </row>
    <row r="638" spans="1:19" x14ac:dyDescent="0.3">
      <c r="A638" s="79"/>
      <c r="B638" s="79"/>
      <c r="Q638" s="78" t="str">
        <f>IFERROR(INDEX(CustomerDetails!$A$1:$C$469,CustomerDetails!$P624,COLUMNS($Q638:Q638)),"")</f>
        <v/>
      </c>
      <c r="R638" s="78" t="str">
        <f>IFERROR(INDEX(CustomerDetails!$A$1:$C$469,CustomerDetails!$P624,COLUMNS($Q638:R638)),"")</f>
        <v/>
      </c>
      <c r="S638" s="78" t="str">
        <f>IFERROR(INDEX(CustomerDetails!$A$1:$C$469,CustomerDetails!$P624,COLUMNS($Q638:S638)),"")</f>
        <v/>
      </c>
    </row>
    <row r="639" spans="1:19" x14ac:dyDescent="0.3">
      <c r="A639" s="79"/>
      <c r="B639" s="79"/>
      <c r="Q639" s="78" t="str">
        <f>IFERROR(INDEX(CustomerDetails!$A$1:$C$469,CustomerDetails!$P625,COLUMNS($Q639:Q639)),"")</f>
        <v/>
      </c>
      <c r="R639" s="78" t="str">
        <f>IFERROR(INDEX(CustomerDetails!$A$1:$C$469,CustomerDetails!$P625,COLUMNS($Q639:R639)),"")</f>
        <v/>
      </c>
      <c r="S639" s="78" t="str">
        <f>IFERROR(INDEX(CustomerDetails!$A$1:$C$469,CustomerDetails!$P625,COLUMNS($Q639:S639)),"")</f>
        <v/>
      </c>
    </row>
    <row r="640" spans="1:19" x14ac:dyDescent="0.3">
      <c r="A640" s="79"/>
      <c r="B640" s="79"/>
      <c r="Q640" s="78" t="str">
        <f>IFERROR(INDEX(CustomerDetails!$A$1:$C$469,CustomerDetails!$P626,COLUMNS($Q640:Q640)),"")</f>
        <v/>
      </c>
      <c r="R640" s="78" t="str">
        <f>IFERROR(INDEX(CustomerDetails!$A$1:$C$469,CustomerDetails!$P626,COLUMNS($Q640:R640)),"")</f>
        <v/>
      </c>
      <c r="S640" s="78" t="str">
        <f>IFERROR(INDEX(CustomerDetails!$A$1:$C$469,CustomerDetails!$P626,COLUMNS($Q640:S640)),"")</f>
        <v/>
      </c>
    </row>
    <row r="641" spans="1:19" x14ac:dyDescent="0.3">
      <c r="A641" s="79"/>
      <c r="B641" s="79"/>
      <c r="Q641" s="78" t="str">
        <f>IFERROR(INDEX(CustomerDetails!$A$1:$C$469,CustomerDetails!$P627,COLUMNS($Q641:Q641)),"")</f>
        <v/>
      </c>
      <c r="R641" s="78" t="str">
        <f>IFERROR(INDEX(CustomerDetails!$A$1:$C$469,CustomerDetails!$P627,COLUMNS($Q641:R641)),"")</f>
        <v/>
      </c>
      <c r="S641" s="78" t="str">
        <f>IFERROR(INDEX(CustomerDetails!$A$1:$C$469,CustomerDetails!$P627,COLUMNS($Q641:S641)),"")</f>
        <v/>
      </c>
    </row>
    <row r="642" spans="1:19" x14ac:dyDescent="0.3">
      <c r="A642" s="79"/>
      <c r="B642" s="79"/>
      <c r="Q642" s="78" t="str">
        <f>IFERROR(INDEX(CustomerDetails!$A$1:$C$469,CustomerDetails!$P628,COLUMNS($Q642:Q642)),"")</f>
        <v/>
      </c>
      <c r="R642" s="78" t="str">
        <f>IFERROR(INDEX(CustomerDetails!$A$1:$C$469,CustomerDetails!$P628,COLUMNS($Q642:R642)),"")</f>
        <v/>
      </c>
      <c r="S642" s="78" t="str">
        <f>IFERROR(INDEX(CustomerDetails!$A$1:$C$469,CustomerDetails!$P628,COLUMNS($Q642:S642)),"")</f>
        <v/>
      </c>
    </row>
    <row r="643" spans="1:19" x14ac:dyDescent="0.3">
      <c r="A643" s="79"/>
      <c r="B643" s="79"/>
      <c r="Q643" s="78" t="str">
        <f>IFERROR(INDEX(CustomerDetails!$A$1:$C$469,CustomerDetails!$P629,COLUMNS($Q643:Q643)),"")</f>
        <v/>
      </c>
      <c r="R643" s="78" t="str">
        <f>IFERROR(INDEX(CustomerDetails!$A$1:$C$469,CustomerDetails!$P629,COLUMNS($Q643:R643)),"")</f>
        <v/>
      </c>
      <c r="S643" s="78" t="str">
        <f>IFERROR(INDEX(CustomerDetails!$A$1:$C$469,CustomerDetails!$P629,COLUMNS($Q643:S643)),"")</f>
        <v/>
      </c>
    </row>
    <row r="644" spans="1:19" x14ac:dyDescent="0.3">
      <c r="A644" s="79"/>
      <c r="B644" s="79"/>
      <c r="Q644" s="78" t="str">
        <f>IFERROR(INDEX(CustomerDetails!$A$1:$C$469,CustomerDetails!$P630,COLUMNS($Q644:Q644)),"")</f>
        <v/>
      </c>
      <c r="R644" s="78" t="str">
        <f>IFERROR(INDEX(CustomerDetails!$A$1:$C$469,CustomerDetails!$P630,COLUMNS($Q644:R644)),"")</f>
        <v/>
      </c>
      <c r="S644" s="78" t="str">
        <f>IFERROR(INDEX(CustomerDetails!$A$1:$C$469,CustomerDetails!$P630,COLUMNS($Q644:S644)),"")</f>
        <v/>
      </c>
    </row>
    <row r="645" spans="1:19" x14ac:dyDescent="0.3">
      <c r="A645" s="79"/>
      <c r="B645" s="79"/>
      <c r="Q645" s="78" t="str">
        <f>IFERROR(INDEX(CustomerDetails!$A$1:$C$469,CustomerDetails!$P631,COLUMNS($Q645:Q645)),"")</f>
        <v/>
      </c>
      <c r="R645" s="78" t="str">
        <f>IFERROR(INDEX(CustomerDetails!$A$1:$C$469,CustomerDetails!$P631,COLUMNS($Q645:R645)),"")</f>
        <v/>
      </c>
      <c r="S645" s="78" t="str">
        <f>IFERROR(INDEX(CustomerDetails!$A$1:$C$469,CustomerDetails!$P631,COLUMNS($Q645:S645)),"")</f>
        <v/>
      </c>
    </row>
    <row r="646" spans="1:19" x14ac:dyDescent="0.3">
      <c r="A646" s="79"/>
      <c r="B646" s="79"/>
      <c r="Q646" s="78" t="str">
        <f>IFERROR(INDEX(CustomerDetails!$A$1:$C$469,CustomerDetails!$P632,COLUMNS($Q646:Q646)),"")</f>
        <v/>
      </c>
      <c r="R646" s="78" t="str">
        <f>IFERROR(INDEX(CustomerDetails!$A$1:$C$469,CustomerDetails!$P632,COLUMNS($Q646:R646)),"")</f>
        <v/>
      </c>
      <c r="S646" s="78" t="str">
        <f>IFERROR(INDEX(CustomerDetails!$A$1:$C$469,CustomerDetails!$P632,COLUMNS($Q646:S646)),"")</f>
        <v/>
      </c>
    </row>
    <row r="647" spans="1:19" x14ac:dyDescent="0.3">
      <c r="A647" s="79"/>
      <c r="B647" s="79"/>
      <c r="Q647" s="78" t="str">
        <f>IFERROR(INDEX(CustomerDetails!$A$1:$C$469,CustomerDetails!$P633,COLUMNS($Q647:Q647)),"")</f>
        <v/>
      </c>
      <c r="R647" s="78" t="str">
        <f>IFERROR(INDEX(CustomerDetails!$A$1:$C$469,CustomerDetails!$P633,COLUMNS($Q647:R647)),"")</f>
        <v/>
      </c>
      <c r="S647" s="78" t="str">
        <f>IFERROR(INDEX(CustomerDetails!$A$1:$C$469,CustomerDetails!$P633,COLUMNS($Q647:S647)),"")</f>
        <v/>
      </c>
    </row>
    <row r="648" spans="1:19" x14ac:dyDescent="0.3">
      <c r="A648" s="79"/>
      <c r="B648" s="79"/>
      <c r="Q648" s="78" t="str">
        <f>IFERROR(INDEX(CustomerDetails!$A$1:$C$469,CustomerDetails!$P634,COLUMNS($Q648:Q648)),"")</f>
        <v/>
      </c>
      <c r="R648" s="78" t="str">
        <f>IFERROR(INDEX(CustomerDetails!$A$1:$C$469,CustomerDetails!$P634,COLUMNS($Q648:R648)),"")</f>
        <v/>
      </c>
      <c r="S648" s="78" t="str">
        <f>IFERROR(INDEX(CustomerDetails!$A$1:$C$469,CustomerDetails!$P634,COLUMNS($Q648:S648)),"")</f>
        <v/>
      </c>
    </row>
    <row r="649" spans="1:19" x14ac:dyDescent="0.3">
      <c r="A649" s="79"/>
      <c r="B649" s="79"/>
      <c r="Q649" s="78" t="str">
        <f>IFERROR(INDEX(CustomerDetails!$A$1:$C$469,CustomerDetails!$P635,COLUMNS($Q649:Q649)),"")</f>
        <v/>
      </c>
      <c r="R649" s="78" t="str">
        <f>IFERROR(INDEX(CustomerDetails!$A$1:$C$469,CustomerDetails!$P635,COLUMNS($Q649:R649)),"")</f>
        <v/>
      </c>
      <c r="S649" s="78" t="str">
        <f>IFERROR(INDEX(CustomerDetails!$A$1:$C$469,CustomerDetails!$P635,COLUMNS($Q649:S649)),"")</f>
        <v/>
      </c>
    </row>
    <row r="650" spans="1:19" x14ac:dyDescent="0.3">
      <c r="A650" s="79"/>
      <c r="B650" s="79"/>
      <c r="Q650" s="78" t="str">
        <f>IFERROR(INDEX(CustomerDetails!$A$1:$C$469,CustomerDetails!$P636,COLUMNS($Q650:Q650)),"")</f>
        <v/>
      </c>
      <c r="R650" s="78" t="str">
        <f>IFERROR(INDEX(CustomerDetails!$A$1:$C$469,CustomerDetails!$P636,COLUMNS($Q650:R650)),"")</f>
        <v/>
      </c>
      <c r="S650" s="78" t="str">
        <f>IFERROR(INDEX(CustomerDetails!$A$1:$C$469,CustomerDetails!$P636,COLUMNS($Q650:S650)),"")</f>
        <v/>
      </c>
    </row>
    <row r="651" spans="1:19" x14ac:dyDescent="0.3">
      <c r="A651" s="79"/>
      <c r="B651" s="79"/>
      <c r="Q651" s="78" t="str">
        <f>IFERROR(INDEX(CustomerDetails!$A$1:$C$469,CustomerDetails!$P637,COLUMNS($Q651:Q651)),"")</f>
        <v/>
      </c>
      <c r="R651" s="78" t="str">
        <f>IFERROR(INDEX(CustomerDetails!$A$1:$C$469,CustomerDetails!$P637,COLUMNS($Q651:R651)),"")</f>
        <v/>
      </c>
      <c r="S651" s="78" t="str">
        <f>IFERROR(INDEX(CustomerDetails!$A$1:$C$469,CustomerDetails!$P637,COLUMNS($Q651:S651)),"")</f>
        <v/>
      </c>
    </row>
    <row r="652" spans="1:19" x14ac:dyDescent="0.3">
      <c r="A652" s="79"/>
      <c r="B652" s="79"/>
      <c r="Q652" s="78" t="str">
        <f>IFERROR(INDEX(CustomerDetails!$A$1:$C$469,CustomerDetails!$P638,COLUMNS($Q652:Q652)),"")</f>
        <v/>
      </c>
      <c r="R652" s="78" t="str">
        <f>IFERROR(INDEX(CustomerDetails!$A$1:$C$469,CustomerDetails!$P638,COLUMNS($Q652:R652)),"")</f>
        <v/>
      </c>
      <c r="S652" s="78" t="str">
        <f>IFERROR(INDEX(CustomerDetails!$A$1:$C$469,CustomerDetails!$P638,COLUMNS($Q652:S652)),"")</f>
        <v/>
      </c>
    </row>
    <row r="653" spans="1:19" x14ac:dyDescent="0.3">
      <c r="A653" s="79"/>
      <c r="B653" s="79"/>
      <c r="Q653" s="78" t="str">
        <f>IFERROR(INDEX(CustomerDetails!$A$1:$C$469,CustomerDetails!$P639,COLUMNS($Q653:Q653)),"")</f>
        <v/>
      </c>
      <c r="R653" s="78" t="str">
        <f>IFERROR(INDEX(CustomerDetails!$A$1:$C$469,CustomerDetails!$P639,COLUMNS($Q653:R653)),"")</f>
        <v/>
      </c>
      <c r="S653" s="78" t="str">
        <f>IFERROR(INDEX(CustomerDetails!$A$1:$C$469,CustomerDetails!$P639,COLUMNS($Q653:S653)),"")</f>
        <v/>
      </c>
    </row>
    <row r="654" spans="1:19" x14ac:dyDescent="0.3">
      <c r="A654" s="79"/>
      <c r="B654" s="79"/>
      <c r="Q654" s="78" t="str">
        <f>IFERROR(INDEX(CustomerDetails!$A$1:$C$469,CustomerDetails!$P640,COLUMNS($Q654:Q654)),"")</f>
        <v/>
      </c>
      <c r="R654" s="78" t="str">
        <f>IFERROR(INDEX(CustomerDetails!$A$1:$C$469,CustomerDetails!$P640,COLUMNS($Q654:R654)),"")</f>
        <v/>
      </c>
      <c r="S654" s="78" t="str">
        <f>IFERROR(INDEX(CustomerDetails!$A$1:$C$469,CustomerDetails!$P640,COLUMNS($Q654:S654)),"")</f>
        <v/>
      </c>
    </row>
    <row r="655" spans="1:19" x14ac:dyDescent="0.3">
      <c r="A655" s="79"/>
      <c r="B655" s="79"/>
      <c r="Q655" s="78" t="str">
        <f>IFERROR(INDEX(CustomerDetails!$A$1:$C$469,CustomerDetails!$P641,COLUMNS($Q655:Q655)),"")</f>
        <v/>
      </c>
      <c r="R655" s="78" t="str">
        <f>IFERROR(INDEX(CustomerDetails!$A$1:$C$469,CustomerDetails!$P641,COLUMNS($Q655:R655)),"")</f>
        <v/>
      </c>
      <c r="S655" s="78" t="str">
        <f>IFERROR(INDEX(CustomerDetails!$A$1:$C$469,CustomerDetails!$P641,COLUMNS($Q655:S655)),"")</f>
        <v/>
      </c>
    </row>
    <row r="656" spans="1:19" x14ac:dyDescent="0.3">
      <c r="A656" s="79"/>
      <c r="B656" s="79"/>
      <c r="Q656" s="78" t="str">
        <f>IFERROR(INDEX(CustomerDetails!$A$1:$C$469,CustomerDetails!$P642,COLUMNS($Q656:Q656)),"")</f>
        <v/>
      </c>
      <c r="R656" s="78" t="str">
        <f>IFERROR(INDEX(CustomerDetails!$A$1:$C$469,CustomerDetails!$P642,COLUMNS($Q656:R656)),"")</f>
        <v/>
      </c>
      <c r="S656" s="78" t="str">
        <f>IFERROR(INDEX(CustomerDetails!$A$1:$C$469,CustomerDetails!$P642,COLUMNS($Q656:S656)),"")</f>
        <v/>
      </c>
    </row>
    <row r="657" spans="1:19" x14ac:dyDescent="0.3">
      <c r="A657" s="79"/>
      <c r="B657" s="79"/>
      <c r="Q657" s="78" t="str">
        <f>IFERROR(INDEX(CustomerDetails!$A$1:$C$469,CustomerDetails!$P643,COLUMNS($Q657:Q657)),"")</f>
        <v/>
      </c>
      <c r="R657" s="78" t="str">
        <f>IFERROR(INDEX(CustomerDetails!$A$1:$C$469,CustomerDetails!$P643,COLUMNS($Q657:R657)),"")</f>
        <v/>
      </c>
      <c r="S657" s="78" t="str">
        <f>IFERROR(INDEX(CustomerDetails!$A$1:$C$469,CustomerDetails!$P643,COLUMNS($Q657:S657)),"")</f>
        <v/>
      </c>
    </row>
    <row r="658" spans="1:19" x14ac:dyDescent="0.3">
      <c r="A658" s="79"/>
      <c r="B658" s="79"/>
      <c r="Q658" s="78" t="str">
        <f>IFERROR(INDEX(CustomerDetails!$A$1:$C$469,CustomerDetails!$P644,COLUMNS($Q658:Q658)),"")</f>
        <v/>
      </c>
      <c r="R658" s="78" t="str">
        <f>IFERROR(INDEX(CustomerDetails!$A$1:$C$469,CustomerDetails!$P644,COLUMNS($Q658:R658)),"")</f>
        <v/>
      </c>
      <c r="S658" s="78" t="str">
        <f>IFERROR(INDEX(CustomerDetails!$A$1:$C$469,CustomerDetails!$P644,COLUMNS($Q658:S658)),"")</f>
        <v/>
      </c>
    </row>
    <row r="659" spans="1:19" x14ac:dyDescent="0.3">
      <c r="A659" s="79"/>
      <c r="B659" s="79"/>
      <c r="Q659" s="78" t="str">
        <f>IFERROR(INDEX(CustomerDetails!$A$1:$C$469,CustomerDetails!$P645,COLUMNS($Q659:Q659)),"")</f>
        <v/>
      </c>
      <c r="R659" s="78" t="str">
        <f>IFERROR(INDEX(CustomerDetails!$A$1:$C$469,CustomerDetails!$P645,COLUMNS($Q659:R659)),"")</f>
        <v/>
      </c>
      <c r="S659" s="78" t="str">
        <f>IFERROR(INDEX(CustomerDetails!$A$1:$C$469,CustomerDetails!$P645,COLUMNS($Q659:S659)),"")</f>
        <v/>
      </c>
    </row>
    <row r="660" spans="1:19" x14ac:dyDescent="0.3">
      <c r="A660" s="79"/>
      <c r="B660" s="79"/>
      <c r="Q660" s="78" t="str">
        <f>IFERROR(INDEX(CustomerDetails!$A$1:$C$469,CustomerDetails!$P646,COLUMNS($Q660:Q660)),"")</f>
        <v/>
      </c>
      <c r="R660" s="78" t="str">
        <f>IFERROR(INDEX(CustomerDetails!$A$1:$C$469,CustomerDetails!$P646,COLUMNS($Q660:R660)),"")</f>
        <v/>
      </c>
      <c r="S660" s="78" t="str">
        <f>IFERROR(INDEX(CustomerDetails!$A$1:$C$469,CustomerDetails!$P646,COLUMNS($Q660:S660)),"")</f>
        <v/>
      </c>
    </row>
    <row r="661" spans="1:19" x14ac:dyDescent="0.3">
      <c r="A661" s="79"/>
      <c r="B661" s="79"/>
      <c r="Q661" s="78" t="str">
        <f>IFERROR(INDEX(CustomerDetails!$A$1:$C$469,CustomerDetails!$P647,COLUMNS($Q661:Q661)),"")</f>
        <v/>
      </c>
      <c r="R661" s="78" t="str">
        <f>IFERROR(INDEX(CustomerDetails!$A$1:$C$469,CustomerDetails!$P647,COLUMNS($Q661:R661)),"")</f>
        <v/>
      </c>
      <c r="S661" s="78" t="str">
        <f>IFERROR(INDEX(CustomerDetails!$A$1:$C$469,CustomerDetails!$P647,COLUMNS($Q661:S661)),"")</f>
        <v/>
      </c>
    </row>
    <row r="662" spans="1:19" x14ac:dyDescent="0.3">
      <c r="A662" s="79"/>
      <c r="B662" s="79"/>
      <c r="Q662" s="78" t="str">
        <f>IFERROR(INDEX(CustomerDetails!$A$1:$C$469,CustomerDetails!$P648,COLUMNS($Q662:Q662)),"")</f>
        <v/>
      </c>
      <c r="R662" s="78" t="str">
        <f>IFERROR(INDEX(CustomerDetails!$A$1:$C$469,CustomerDetails!$P648,COLUMNS($Q662:R662)),"")</f>
        <v/>
      </c>
      <c r="S662" s="78" t="str">
        <f>IFERROR(INDEX(CustomerDetails!$A$1:$C$469,CustomerDetails!$P648,COLUMNS($Q662:S662)),"")</f>
        <v/>
      </c>
    </row>
    <row r="663" spans="1:19" x14ac:dyDescent="0.3">
      <c r="A663" s="79"/>
      <c r="B663" s="79"/>
      <c r="Q663" s="78" t="str">
        <f>IFERROR(INDEX(CustomerDetails!$A$1:$C$469,CustomerDetails!$P649,COLUMNS($Q663:Q663)),"")</f>
        <v/>
      </c>
      <c r="R663" s="78" t="str">
        <f>IFERROR(INDEX(CustomerDetails!$A$1:$C$469,CustomerDetails!$P649,COLUMNS($Q663:R663)),"")</f>
        <v/>
      </c>
      <c r="S663" s="78" t="str">
        <f>IFERROR(INDEX(CustomerDetails!$A$1:$C$469,CustomerDetails!$P649,COLUMNS($Q663:S663)),"")</f>
        <v/>
      </c>
    </row>
    <row r="664" spans="1:19" x14ac:dyDescent="0.3">
      <c r="A664" s="79"/>
      <c r="B664" s="79"/>
      <c r="Q664" s="78" t="str">
        <f>IFERROR(INDEX(CustomerDetails!$A$1:$C$469,CustomerDetails!$P650,COLUMNS($Q664:Q664)),"")</f>
        <v/>
      </c>
      <c r="R664" s="78" t="str">
        <f>IFERROR(INDEX(CustomerDetails!$A$1:$C$469,CustomerDetails!$P650,COLUMNS($Q664:R664)),"")</f>
        <v/>
      </c>
      <c r="S664" s="78" t="str">
        <f>IFERROR(INDEX(CustomerDetails!$A$1:$C$469,CustomerDetails!$P650,COLUMNS($Q664:S664)),"")</f>
        <v/>
      </c>
    </row>
    <row r="665" spans="1:19" x14ac:dyDescent="0.3">
      <c r="A665" s="79"/>
      <c r="B665" s="79"/>
      <c r="Q665" s="78" t="str">
        <f>IFERROR(INDEX(CustomerDetails!$A$1:$C$469,CustomerDetails!$P651,COLUMNS($Q665:Q665)),"")</f>
        <v/>
      </c>
      <c r="R665" s="78" t="str">
        <f>IFERROR(INDEX(CustomerDetails!$A$1:$C$469,CustomerDetails!$P651,COLUMNS($Q665:R665)),"")</f>
        <v/>
      </c>
      <c r="S665" s="78" t="str">
        <f>IFERROR(INDEX(CustomerDetails!$A$1:$C$469,CustomerDetails!$P651,COLUMNS($Q665:S665)),"")</f>
        <v/>
      </c>
    </row>
    <row r="666" spans="1:19" x14ac:dyDescent="0.3">
      <c r="A666" s="79"/>
      <c r="B666" s="79"/>
      <c r="Q666" s="78" t="str">
        <f>IFERROR(INDEX(CustomerDetails!$A$1:$C$469,CustomerDetails!$P652,COLUMNS($Q666:Q666)),"")</f>
        <v/>
      </c>
      <c r="R666" s="78" t="str">
        <f>IFERROR(INDEX(CustomerDetails!$A$1:$C$469,CustomerDetails!$P652,COLUMNS($Q666:R666)),"")</f>
        <v/>
      </c>
      <c r="S666" s="78" t="str">
        <f>IFERROR(INDEX(CustomerDetails!$A$1:$C$469,CustomerDetails!$P652,COLUMNS($Q666:S666)),"")</f>
        <v/>
      </c>
    </row>
    <row r="667" spans="1:19" x14ac:dyDescent="0.3">
      <c r="A667" s="79"/>
      <c r="B667" s="79"/>
      <c r="Q667" s="78" t="str">
        <f>IFERROR(INDEX(CustomerDetails!$A$1:$C$469,CustomerDetails!$P653,COLUMNS($Q667:Q667)),"")</f>
        <v/>
      </c>
      <c r="R667" s="78" t="str">
        <f>IFERROR(INDEX(CustomerDetails!$A$1:$C$469,CustomerDetails!$P653,COLUMNS($Q667:R667)),"")</f>
        <v/>
      </c>
      <c r="S667" s="78" t="str">
        <f>IFERROR(INDEX(CustomerDetails!$A$1:$C$469,CustomerDetails!$P653,COLUMNS($Q667:S667)),"")</f>
        <v/>
      </c>
    </row>
    <row r="668" spans="1:19" x14ac:dyDescent="0.3">
      <c r="A668" s="79"/>
      <c r="B668" s="79"/>
      <c r="Q668" s="78" t="str">
        <f>IFERROR(INDEX(CustomerDetails!$A$1:$C$469,CustomerDetails!$P654,COLUMNS($Q668:Q668)),"")</f>
        <v/>
      </c>
      <c r="R668" s="78" t="str">
        <f>IFERROR(INDEX(CustomerDetails!$A$1:$C$469,CustomerDetails!$P654,COLUMNS($Q668:R668)),"")</f>
        <v/>
      </c>
      <c r="S668" s="78" t="str">
        <f>IFERROR(INDEX(CustomerDetails!$A$1:$C$469,CustomerDetails!$P654,COLUMNS($Q668:S668)),"")</f>
        <v/>
      </c>
    </row>
    <row r="669" spans="1:19" x14ac:dyDescent="0.3">
      <c r="A669" s="79"/>
      <c r="B669" s="79"/>
      <c r="Q669" s="78" t="str">
        <f>IFERROR(INDEX(CustomerDetails!$A$1:$C$469,CustomerDetails!$P655,COLUMNS($Q669:Q669)),"")</f>
        <v/>
      </c>
      <c r="R669" s="78" t="str">
        <f>IFERROR(INDEX(CustomerDetails!$A$1:$C$469,CustomerDetails!$P655,COLUMNS($Q669:R669)),"")</f>
        <v/>
      </c>
      <c r="S669" s="78" t="str">
        <f>IFERROR(INDEX(CustomerDetails!$A$1:$C$469,CustomerDetails!$P655,COLUMNS($Q669:S669)),"")</f>
        <v/>
      </c>
    </row>
    <row r="670" spans="1:19" x14ac:dyDescent="0.3">
      <c r="A670" s="79"/>
      <c r="B670" s="79"/>
      <c r="Q670" s="78" t="str">
        <f>IFERROR(INDEX(CustomerDetails!$A$1:$C$469,CustomerDetails!$P656,COLUMNS($Q670:Q670)),"")</f>
        <v/>
      </c>
      <c r="R670" s="78" t="str">
        <f>IFERROR(INDEX(CustomerDetails!$A$1:$C$469,CustomerDetails!$P656,COLUMNS($Q670:R670)),"")</f>
        <v/>
      </c>
      <c r="S670" s="78" t="str">
        <f>IFERROR(INDEX(CustomerDetails!$A$1:$C$469,CustomerDetails!$P656,COLUMNS($Q670:S670)),"")</f>
        <v/>
      </c>
    </row>
    <row r="671" spans="1:19" x14ac:dyDescent="0.3">
      <c r="A671" s="79"/>
      <c r="B671" s="79"/>
      <c r="Q671" s="78" t="str">
        <f>IFERROR(INDEX(CustomerDetails!$A$1:$C$469,CustomerDetails!$P657,COLUMNS($Q671:Q671)),"")</f>
        <v/>
      </c>
      <c r="R671" s="78" t="str">
        <f>IFERROR(INDEX(CustomerDetails!$A$1:$C$469,CustomerDetails!$P657,COLUMNS($Q671:R671)),"")</f>
        <v/>
      </c>
      <c r="S671" s="78" t="str">
        <f>IFERROR(INDEX(CustomerDetails!$A$1:$C$469,CustomerDetails!$P657,COLUMNS($Q671:S671)),"")</f>
        <v/>
      </c>
    </row>
    <row r="672" spans="1:19" x14ac:dyDescent="0.3">
      <c r="A672" s="79"/>
      <c r="B672" s="79"/>
      <c r="Q672" s="78" t="str">
        <f>IFERROR(INDEX(CustomerDetails!$A$1:$C$469,CustomerDetails!$P658,COLUMNS($Q672:Q672)),"")</f>
        <v/>
      </c>
      <c r="R672" s="78" t="str">
        <f>IFERROR(INDEX(CustomerDetails!$A$1:$C$469,CustomerDetails!$P658,COLUMNS($Q672:R672)),"")</f>
        <v/>
      </c>
      <c r="S672" s="78" t="str">
        <f>IFERROR(INDEX(CustomerDetails!$A$1:$C$469,CustomerDetails!$P658,COLUMNS($Q672:S672)),"")</f>
        <v/>
      </c>
    </row>
    <row r="673" spans="1:19" x14ac:dyDescent="0.3">
      <c r="A673" s="79"/>
      <c r="B673" s="79"/>
      <c r="Q673" s="78" t="str">
        <f>IFERROR(INDEX(CustomerDetails!$A$1:$C$469,CustomerDetails!$P659,COLUMNS($Q673:Q673)),"")</f>
        <v/>
      </c>
      <c r="R673" s="78" t="str">
        <f>IFERROR(INDEX(CustomerDetails!$A$1:$C$469,CustomerDetails!$P659,COLUMNS($Q673:R673)),"")</f>
        <v/>
      </c>
      <c r="S673" s="78" t="str">
        <f>IFERROR(INDEX(CustomerDetails!$A$1:$C$469,CustomerDetails!$P659,COLUMNS($Q673:S673)),"")</f>
        <v/>
      </c>
    </row>
    <row r="674" spans="1:19" x14ac:dyDescent="0.3">
      <c r="A674" s="79"/>
      <c r="B674" s="79"/>
      <c r="Q674" s="78" t="str">
        <f>IFERROR(INDEX(CustomerDetails!$A$1:$C$469,CustomerDetails!$P660,COLUMNS($Q674:Q674)),"")</f>
        <v/>
      </c>
      <c r="R674" s="78" t="str">
        <f>IFERROR(INDEX(CustomerDetails!$A$1:$C$469,CustomerDetails!$P660,COLUMNS($Q674:R674)),"")</f>
        <v/>
      </c>
      <c r="S674" s="78" t="str">
        <f>IFERROR(INDEX(CustomerDetails!$A$1:$C$469,CustomerDetails!$P660,COLUMNS($Q674:S674)),"")</f>
        <v/>
      </c>
    </row>
    <row r="675" spans="1:19" x14ac:dyDescent="0.3">
      <c r="A675" s="79"/>
      <c r="B675" s="79"/>
      <c r="Q675" s="78" t="str">
        <f>IFERROR(INDEX(CustomerDetails!$A$1:$C$469,CustomerDetails!$P661,COLUMNS($Q675:Q675)),"")</f>
        <v/>
      </c>
      <c r="R675" s="78" t="str">
        <f>IFERROR(INDEX(CustomerDetails!$A$1:$C$469,CustomerDetails!$P661,COLUMNS($Q675:R675)),"")</f>
        <v/>
      </c>
      <c r="S675" s="78" t="str">
        <f>IFERROR(INDEX(CustomerDetails!$A$1:$C$469,CustomerDetails!$P661,COLUMNS($Q675:S675)),"")</f>
        <v/>
      </c>
    </row>
    <row r="676" spans="1:19" x14ac:dyDescent="0.3">
      <c r="A676" s="79"/>
      <c r="B676" s="79"/>
      <c r="Q676" s="78" t="str">
        <f>IFERROR(INDEX(CustomerDetails!$A$1:$C$469,CustomerDetails!$P662,COLUMNS($Q676:Q676)),"")</f>
        <v/>
      </c>
      <c r="R676" s="78" t="str">
        <f>IFERROR(INDEX(CustomerDetails!$A$1:$C$469,CustomerDetails!$P662,COLUMNS($Q676:R676)),"")</f>
        <v/>
      </c>
      <c r="S676" s="78" t="str">
        <f>IFERROR(INDEX(CustomerDetails!$A$1:$C$469,CustomerDetails!$P662,COLUMNS($Q676:S676)),"")</f>
        <v/>
      </c>
    </row>
    <row r="677" spans="1:19" x14ac:dyDescent="0.3">
      <c r="A677" s="79"/>
      <c r="B677" s="79"/>
      <c r="Q677" s="78" t="str">
        <f>IFERROR(INDEX(CustomerDetails!$A$1:$C$469,CustomerDetails!$P663,COLUMNS($Q677:Q677)),"")</f>
        <v/>
      </c>
      <c r="R677" s="78" t="str">
        <f>IFERROR(INDEX(CustomerDetails!$A$1:$C$469,CustomerDetails!$P663,COLUMNS($Q677:R677)),"")</f>
        <v/>
      </c>
      <c r="S677" s="78" t="str">
        <f>IFERROR(INDEX(CustomerDetails!$A$1:$C$469,CustomerDetails!$P663,COLUMNS($Q677:S677)),"")</f>
        <v/>
      </c>
    </row>
    <row r="678" spans="1:19" x14ac:dyDescent="0.3">
      <c r="A678" s="79"/>
      <c r="B678" s="79"/>
      <c r="Q678" s="78" t="str">
        <f>IFERROR(INDEX(CustomerDetails!$A$1:$C$469,CustomerDetails!$P664,COLUMNS($Q678:Q678)),"")</f>
        <v/>
      </c>
      <c r="R678" s="78" t="str">
        <f>IFERROR(INDEX(CustomerDetails!$A$1:$C$469,CustomerDetails!$P664,COLUMNS($Q678:R678)),"")</f>
        <v/>
      </c>
      <c r="S678" s="78" t="str">
        <f>IFERROR(INDEX(CustomerDetails!$A$1:$C$469,CustomerDetails!$P664,COLUMNS($Q678:S678)),"")</f>
        <v/>
      </c>
    </row>
    <row r="679" spans="1:19" x14ac:dyDescent="0.3">
      <c r="A679" s="79"/>
      <c r="B679" s="79"/>
      <c r="Q679" s="78" t="str">
        <f>IFERROR(INDEX(CustomerDetails!$A$1:$C$469,CustomerDetails!$P665,COLUMNS($Q679:Q679)),"")</f>
        <v/>
      </c>
      <c r="R679" s="78" t="str">
        <f>IFERROR(INDEX(CustomerDetails!$A$1:$C$469,CustomerDetails!$P665,COLUMNS($Q679:R679)),"")</f>
        <v/>
      </c>
      <c r="S679" s="78" t="str">
        <f>IFERROR(INDEX(CustomerDetails!$A$1:$C$469,CustomerDetails!$P665,COLUMNS($Q679:S679)),"")</f>
        <v/>
      </c>
    </row>
    <row r="680" spans="1:19" x14ac:dyDescent="0.3">
      <c r="A680" s="79"/>
      <c r="B680" s="79"/>
      <c r="Q680" s="78" t="str">
        <f>IFERROR(INDEX(CustomerDetails!$A$1:$C$469,CustomerDetails!$P666,COLUMNS($Q680:Q680)),"")</f>
        <v/>
      </c>
      <c r="R680" s="78" t="str">
        <f>IFERROR(INDEX(CustomerDetails!$A$1:$C$469,CustomerDetails!$P666,COLUMNS($Q680:R680)),"")</f>
        <v/>
      </c>
      <c r="S680" s="78" t="str">
        <f>IFERROR(INDEX(CustomerDetails!$A$1:$C$469,CustomerDetails!$P666,COLUMNS($Q680:S680)),"")</f>
        <v/>
      </c>
    </row>
    <row r="681" spans="1:19" x14ac:dyDescent="0.3">
      <c r="A681" s="79"/>
      <c r="B681" s="79"/>
      <c r="Q681" s="78" t="str">
        <f>IFERROR(INDEX(CustomerDetails!$A$1:$C$469,CustomerDetails!$P667,COLUMNS($Q681:Q681)),"")</f>
        <v/>
      </c>
      <c r="R681" s="78" t="str">
        <f>IFERROR(INDEX(CustomerDetails!$A$1:$C$469,CustomerDetails!$P667,COLUMNS($Q681:R681)),"")</f>
        <v/>
      </c>
      <c r="S681" s="78" t="str">
        <f>IFERROR(INDEX(CustomerDetails!$A$1:$C$469,CustomerDetails!$P667,COLUMNS($Q681:S681)),"")</f>
        <v/>
      </c>
    </row>
    <row r="682" spans="1:19" x14ac:dyDescent="0.3">
      <c r="A682" s="79"/>
      <c r="B682" s="79"/>
      <c r="Q682" s="78" t="str">
        <f>IFERROR(INDEX(CustomerDetails!$A$1:$C$469,CustomerDetails!$P668,COLUMNS($Q682:Q682)),"")</f>
        <v/>
      </c>
      <c r="R682" s="78" t="str">
        <f>IFERROR(INDEX(CustomerDetails!$A$1:$C$469,CustomerDetails!$P668,COLUMNS($Q682:R682)),"")</f>
        <v/>
      </c>
      <c r="S682" s="78" t="str">
        <f>IFERROR(INDEX(CustomerDetails!$A$1:$C$469,CustomerDetails!$P668,COLUMNS($Q682:S682)),"")</f>
        <v/>
      </c>
    </row>
    <row r="683" spans="1:19" x14ac:dyDescent="0.3">
      <c r="A683" s="79"/>
      <c r="B683" s="79"/>
      <c r="Q683" s="78" t="str">
        <f>IFERROR(INDEX(CustomerDetails!$A$1:$C$469,CustomerDetails!$P669,COLUMNS($Q683:Q683)),"")</f>
        <v/>
      </c>
      <c r="R683" s="78" t="str">
        <f>IFERROR(INDEX(CustomerDetails!$A$1:$C$469,CustomerDetails!$P669,COLUMNS($Q683:R683)),"")</f>
        <v/>
      </c>
      <c r="S683" s="78" t="str">
        <f>IFERROR(INDEX(CustomerDetails!$A$1:$C$469,CustomerDetails!$P669,COLUMNS($Q683:S683)),"")</f>
        <v/>
      </c>
    </row>
    <row r="684" spans="1:19" x14ac:dyDescent="0.3">
      <c r="A684" s="79"/>
      <c r="B684" s="79"/>
      <c r="Q684" s="78" t="str">
        <f>IFERROR(INDEX(CustomerDetails!$A$1:$C$469,CustomerDetails!$P670,COLUMNS($Q684:Q684)),"")</f>
        <v/>
      </c>
      <c r="R684" s="78" t="str">
        <f>IFERROR(INDEX(CustomerDetails!$A$1:$C$469,CustomerDetails!$P670,COLUMNS($Q684:R684)),"")</f>
        <v/>
      </c>
      <c r="S684" s="78" t="str">
        <f>IFERROR(INDEX(CustomerDetails!$A$1:$C$469,CustomerDetails!$P670,COLUMNS($Q684:S684)),"")</f>
        <v/>
      </c>
    </row>
    <row r="685" spans="1:19" x14ac:dyDescent="0.3">
      <c r="A685" s="79"/>
      <c r="B685" s="79"/>
      <c r="Q685" s="78" t="str">
        <f>IFERROR(INDEX(CustomerDetails!$A$1:$C$469,CustomerDetails!$P671,COLUMNS($Q685:Q685)),"")</f>
        <v/>
      </c>
      <c r="R685" s="78" t="str">
        <f>IFERROR(INDEX(CustomerDetails!$A$1:$C$469,CustomerDetails!$P671,COLUMNS($Q685:R685)),"")</f>
        <v/>
      </c>
      <c r="S685" s="78" t="str">
        <f>IFERROR(INDEX(CustomerDetails!$A$1:$C$469,CustomerDetails!$P671,COLUMNS($Q685:S685)),"")</f>
        <v/>
      </c>
    </row>
    <row r="686" spans="1:19" x14ac:dyDescent="0.3">
      <c r="A686" s="79"/>
      <c r="B686" s="79"/>
      <c r="Q686" s="78" t="str">
        <f>IFERROR(INDEX(CustomerDetails!$A$1:$C$469,CustomerDetails!$P672,COLUMNS($Q686:Q686)),"")</f>
        <v/>
      </c>
      <c r="R686" s="78" t="str">
        <f>IFERROR(INDEX(CustomerDetails!$A$1:$C$469,CustomerDetails!$P672,COLUMNS($Q686:R686)),"")</f>
        <v/>
      </c>
      <c r="S686" s="78" t="str">
        <f>IFERROR(INDEX(CustomerDetails!$A$1:$C$469,CustomerDetails!$P672,COLUMNS($Q686:S686)),"")</f>
        <v/>
      </c>
    </row>
    <row r="687" spans="1:19" x14ac:dyDescent="0.3">
      <c r="A687" s="79"/>
      <c r="B687" s="79"/>
      <c r="Q687" s="78" t="str">
        <f>IFERROR(INDEX(CustomerDetails!$A$1:$C$469,CustomerDetails!$P673,COLUMNS($Q687:Q687)),"")</f>
        <v/>
      </c>
      <c r="R687" s="78" t="str">
        <f>IFERROR(INDEX(CustomerDetails!$A$1:$C$469,CustomerDetails!$P673,COLUMNS($Q687:R687)),"")</f>
        <v/>
      </c>
      <c r="S687" s="78" t="str">
        <f>IFERROR(INDEX(CustomerDetails!$A$1:$C$469,CustomerDetails!$P673,COLUMNS($Q687:S687)),"")</f>
        <v/>
      </c>
    </row>
    <row r="688" spans="1:19" x14ac:dyDescent="0.3">
      <c r="A688" s="79"/>
      <c r="B688" s="79"/>
      <c r="Q688" s="78" t="str">
        <f>IFERROR(INDEX(CustomerDetails!$A$1:$C$469,CustomerDetails!$P674,COLUMNS($Q688:Q688)),"")</f>
        <v/>
      </c>
      <c r="R688" s="78" t="str">
        <f>IFERROR(INDEX(CustomerDetails!$A$1:$C$469,CustomerDetails!$P674,COLUMNS($Q688:R688)),"")</f>
        <v/>
      </c>
      <c r="S688" s="78" t="str">
        <f>IFERROR(INDEX(CustomerDetails!$A$1:$C$469,CustomerDetails!$P674,COLUMNS($Q688:S688)),"")</f>
        <v/>
      </c>
    </row>
    <row r="689" spans="1:19" x14ac:dyDescent="0.3">
      <c r="A689" s="79"/>
      <c r="B689" s="79"/>
      <c r="Q689" s="78" t="str">
        <f>IFERROR(INDEX(CustomerDetails!$A$1:$C$469,CustomerDetails!$P675,COLUMNS($Q689:Q689)),"")</f>
        <v/>
      </c>
      <c r="R689" s="78" t="str">
        <f>IFERROR(INDEX(CustomerDetails!$A$1:$C$469,CustomerDetails!$P675,COLUMNS($Q689:R689)),"")</f>
        <v/>
      </c>
      <c r="S689" s="78" t="str">
        <f>IFERROR(INDEX(CustomerDetails!$A$1:$C$469,CustomerDetails!$P675,COLUMNS($Q689:S689)),"")</f>
        <v/>
      </c>
    </row>
    <row r="690" spans="1:19" x14ac:dyDescent="0.3">
      <c r="A690" s="79"/>
      <c r="B690" s="79"/>
      <c r="Q690" s="78" t="str">
        <f>IFERROR(INDEX(CustomerDetails!$A$1:$C$469,CustomerDetails!$P676,COLUMNS($Q690:Q690)),"")</f>
        <v/>
      </c>
      <c r="R690" s="78" t="str">
        <f>IFERROR(INDEX(CustomerDetails!$A$1:$C$469,CustomerDetails!$P676,COLUMNS($Q690:R690)),"")</f>
        <v/>
      </c>
      <c r="S690" s="78" t="str">
        <f>IFERROR(INDEX(CustomerDetails!$A$1:$C$469,CustomerDetails!$P676,COLUMNS($Q690:S690)),"")</f>
        <v/>
      </c>
    </row>
    <row r="691" spans="1:19" x14ac:dyDescent="0.3">
      <c r="A691" s="79"/>
      <c r="B691" s="79"/>
      <c r="Q691" s="78" t="str">
        <f>IFERROR(INDEX(CustomerDetails!$A$1:$C$469,CustomerDetails!$P677,COLUMNS($Q691:Q691)),"")</f>
        <v/>
      </c>
      <c r="R691" s="78" t="str">
        <f>IFERROR(INDEX(CustomerDetails!$A$1:$C$469,CustomerDetails!$P677,COLUMNS($Q691:R691)),"")</f>
        <v/>
      </c>
      <c r="S691" s="78" t="str">
        <f>IFERROR(INDEX(CustomerDetails!$A$1:$C$469,CustomerDetails!$P677,COLUMNS($Q691:S691)),"")</f>
        <v/>
      </c>
    </row>
    <row r="692" spans="1:19" x14ac:dyDescent="0.3">
      <c r="A692" s="79"/>
      <c r="B692" s="79"/>
      <c r="Q692" s="78" t="str">
        <f>IFERROR(INDEX(CustomerDetails!$A$1:$C$469,CustomerDetails!$P678,COLUMNS($Q692:Q692)),"")</f>
        <v/>
      </c>
      <c r="R692" s="78" t="str">
        <f>IFERROR(INDEX(CustomerDetails!$A$1:$C$469,CustomerDetails!$P678,COLUMNS($Q692:R692)),"")</f>
        <v/>
      </c>
      <c r="S692" s="78" t="str">
        <f>IFERROR(INDEX(CustomerDetails!$A$1:$C$469,CustomerDetails!$P678,COLUMNS($Q692:S692)),"")</f>
        <v/>
      </c>
    </row>
    <row r="693" spans="1:19" x14ac:dyDescent="0.3">
      <c r="A693" s="79"/>
      <c r="B693" s="79"/>
      <c r="Q693" s="78" t="str">
        <f>IFERROR(INDEX(CustomerDetails!$A$1:$C$469,CustomerDetails!$P679,COLUMNS($Q693:Q693)),"")</f>
        <v/>
      </c>
      <c r="R693" s="78" t="str">
        <f>IFERROR(INDEX(CustomerDetails!$A$1:$C$469,CustomerDetails!$P679,COLUMNS($Q693:R693)),"")</f>
        <v/>
      </c>
      <c r="S693" s="78" t="str">
        <f>IFERROR(INDEX(CustomerDetails!$A$1:$C$469,CustomerDetails!$P679,COLUMNS($Q693:S693)),"")</f>
        <v/>
      </c>
    </row>
    <row r="694" spans="1:19" x14ac:dyDescent="0.3">
      <c r="A694" s="79"/>
      <c r="B694" s="79"/>
      <c r="Q694" s="78" t="str">
        <f>IFERROR(INDEX(CustomerDetails!$A$1:$C$469,CustomerDetails!$P680,COLUMNS($Q694:Q694)),"")</f>
        <v/>
      </c>
      <c r="R694" s="78" t="str">
        <f>IFERROR(INDEX(CustomerDetails!$A$1:$C$469,CustomerDetails!$P680,COLUMNS($Q694:R694)),"")</f>
        <v/>
      </c>
      <c r="S694" s="78" t="str">
        <f>IFERROR(INDEX(CustomerDetails!$A$1:$C$469,CustomerDetails!$P680,COLUMNS($Q694:S694)),"")</f>
        <v/>
      </c>
    </row>
    <row r="695" spans="1:19" x14ac:dyDescent="0.3">
      <c r="A695" s="79"/>
      <c r="B695" s="79"/>
      <c r="Q695" s="78" t="str">
        <f>IFERROR(INDEX(CustomerDetails!$A$1:$C$469,CustomerDetails!$P681,COLUMNS($Q695:Q695)),"")</f>
        <v/>
      </c>
      <c r="R695" s="78" t="str">
        <f>IFERROR(INDEX(CustomerDetails!$A$1:$C$469,CustomerDetails!$P681,COLUMNS($Q695:R695)),"")</f>
        <v/>
      </c>
      <c r="S695" s="78" t="str">
        <f>IFERROR(INDEX(CustomerDetails!$A$1:$C$469,CustomerDetails!$P681,COLUMNS($Q695:S695)),"")</f>
        <v/>
      </c>
    </row>
    <row r="696" spans="1:19" x14ac:dyDescent="0.3">
      <c r="A696" s="79"/>
      <c r="B696" s="79"/>
      <c r="Q696" s="78" t="str">
        <f>IFERROR(INDEX(CustomerDetails!$A$1:$C$469,CustomerDetails!$P682,COLUMNS($Q696:Q696)),"")</f>
        <v/>
      </c>
      <c r="R696" s="78" t="str">
        <f>IFERROR(INDEX(CustomerDetails!$A$1:$C$469,CustomerDetails!$P682,COLUMNS($Q696:R696)),"")</f>
        <v/>
      </c>
      <c r="S696" s="78" t="str">
        <f>IFERROR(INDEX(CustomerDetails!$A$1:$C$469,CustomerDetails!$P682,COLUMNS($Q696:S696)),"")</f>
        <v/>
      </c>
    </row>
    <row r="697" spans="1:19" x14ac:dyDescent="0.3">
      <c r="A697" s="79"/>
      <c r="B697" s="79"/>
      <c r="Q697" s="78" t="str">
        <f>IFERROR(INDEX(CustomerDetails!$A$1:$C$469,CustomerDetails!$P683,COLUMNS($Q697:Q697)),"")</f>
        <v/>
      </c>
      <c r="R697" s="78" t="str">
        <f>IFERROR(INDEX(CustomerDetails!$A$1:$C$469,CustomerDetails!$P683,COLUMNS($Q697:R697)),"")</f>
        <v/>
      </c>
      <c r="S697" s="78" t="str">
        <f>IFERROR(INDEX(CustomerDetails!$A$1:$C$469,CustomerDetails!$P683,COLUMNS($Q697:S697)),"")</f>
        <v/>
      </c>
    </row>
    <row r="698" spans="1:19" x14ac:dyDescent="0.3">
      <c r="A698" s="79"/>
      <c r="B698" s="79"/>
      <c r="Q698" s="78" t="str">
        <f>IFERROR(INDEX(CustomerDetails!$A$1:$C$469,CustomerDetails!$P684,COLUMNS($Q698:Q698)),"")</f>
        <v/>
      </c>
      <c r="R698" s="78" t="str">
        <f>IFERROR(INDEX(CustomerDetails!$A$1:$C$469,CustomerDetails!$P684,COLUMNS($Q698:R698)),"")</f>
        <v/>
      </c>
      <c r="S698" s="78" t="str">
        <f>IFERROR(INDEX(CustomerDetails!$A$1:$C$469,CustomerDetails!$P684,COLUMNS($Q698:S698)),"")</f>
        <v/>
      </c>
    </row>
    <row r="699" spans="1:19" x14ac:dyDescent="0.3">
      <c r="A699" s="79"/>
      <c r="B699" s="79"/>
      <c r="Q699" s="78" t="str">
        <f>IFERROR(INDEX(CustomerDetails!$A$1:$C$469,CustomerDetails!$P685,COLUMNS($Q699:Q699)),"")</f>
        <v/>
      </c>
      <c r="R699" s="78" t="str">
        <f>IFERROR(INDEX(CustomerDetails!$A$1:$C$469,CustomerDetails!$P685,COLUMNS($Q699:R699)),"")</f>
        <v/>
      </c>
      <c r="S699" s="78" t="str">
        <f>IFERROR(INDEX(CustomerDetails!$A$1:$C$469,CustomerDetails!$P685,COLUMNS($Q699:S699)),"")</f>
        <v/>
      </c>
    </row>
    <row r="700" spans="1:19" x14ac:dyDescent="0.3">
      <c r="A700" s="79"/>
      <c r="B700" s="79"/>
      <c r="Q700" s="78" t="str">
        <f>IFERROR(INDEX(CustomerDetails!$A$1:$C$469,CustomerDetails!$P686,COLUMNS($Q700:Q700)),"")</f>
        <v/>
      </c>
      <c r="R700" s="78" t="str">
        <f>IFERROR(INDEX(CustomerDetails!$A$1:$C$469,CustomerDetails!$P686,COLUMNS($Q700:R700)),"")</f>
        <v/>
      </c>
      <c r="S700" s="78" t="str">
        <f>IFERROR(INDEX(CustomerDetails!$A$1:$C$469,CustomerDetails!$P686,COLUMNS($Q700:S700)),"")</f>
        <v/>
      </c>
    </row>
    <row r="701" spans="1:19" x14ac:dyDescent="0.3">
      <c r="A701" s="79"/>
      <c r="B701" s="79"/>
      <c r="Q701" s="78" t="str">
        <f>IFERROR(INDEX(CustomerDetails!$A$1:$C$469,CustomerDetails!$P687,COLUMNS($Q701:Q701)),"")</f>
        <v/>
      </c>
      <c r="R701" s="78" t="str">
        <f>IFERROR(INDEX(CustomerDetails!$A$1:$C$469,CustomerDetails!$P687,COLUMNS($Q701:R701)),"")</f>
        <v/>
      </c>
      <c r="S701" s="78" t="str">
        <f>IFERROR(INDEX(CustomerDetails!$A$1:$C$469,CustomerDetails!$P687,COLUMNS($Q701:S701)),"")</f>
        <v/>
      </c>
    </row>
    <row r="702" spans="1:19" x14ac:dyDescent="0.3">
      <c r="A702" s="79"/>
      <c r="B702" s="79"/>
      <c r="Q702" s="78" t="str">
        <f>IFERROR(INDEX(CustomerDetails!$A$1:$C$469,CustomerDetails!$P688,COLUMNS($Q702:Q702)),"")</f>
        <v/>
      </c>
      <c r="R702" s="78" t="str">
        <f>IFERROR(INDEX(CustomerDetails!$A$1:$C$469,CustomerDetails!$P688,COLUMNS($Q702:R702)),"")</f>
        <v/>
      </c>
      <c r="S702" s="78" t="str">
        <f>IFERROR(INDEX(CustomerDetails!$A$1:$C$469,CustomerDetails!$P688,COLUMNS($Q702:S702)),"")</f>
        <v/>
      </c>
    </row>
    <row r="703" spans="1:19" x14ac:dyDescent="0.3">
      <c r="A703" s="79"/>
      <c r="B703" s="79"/>
      <c r="Q703" s="78" t="str">
        <f>IFERROR(INDEX(CustomerDetails!$A$1:$C$469,CustomerDetails!$P689,COLUMNS($Q703:Q703)),"")</f>
        <v/>
      </c>
      <c r="R703" s="78" t="str">
        <f>IFERROR(INDEX(CustomerDetails!$A$1:$C$469,CustomerDetails!$P689,COLUMNS($Q703:R703)),"")</f>
        <v/>
      </c>
      <c r="S703" s="78" t="str">
        <f>IFERROR(INDEX(CustomerDetails!$A$1:$C$469,CustomerDetails!$P689,COLUMNS($Q703:S703)),"")</f>
        <v/>
      </c>
    </row>
    <row r="704" spans="1:19" x14ac:dyDescent="0.3">
      <c r="A704" s="79"/>
      <c r="B704" s="79"/>
      <c r="Q704" s="78" t="str">
        <f>IFERROR(INDEX(CustomerDetails!$A$1:$C$469,CustomerDetails!$P690,COLUMNS($Q704:Q704)),"")</f>
        <v/>
      </c>
      <c r="R704" s="78" t="str">
        <f>IFERROR(INDEX(CustomerDetails!$A$1:$C$469,CustomerDetails!$P690,COLUMNS($Q704:R704)),"")</f>
        <v/>
      </c>
      <c r="S704" s="78" t="str">
        <f>IFERROR(INDEX(CustomerDetails!$A$1:$C$469,CustomerDetails!$P690,COLUMNS($Q704:S704)),"")</f>
        <v/>
      </c>
    </row>
    <row r="705" spans="1:19" x14ac:dyDescent="0.3">
      <c r="A705" s="79"/>
      <c r="B705" s="79"/>
      <c r="Q705" s="78" t="str">
        <f>IFERROR(INDEX(CustomerDetails!$A$1:$C$469,CustomerDetails!$P691,COLUMNS($Q705:Q705)),"")</f>
        <v/>
      </c>
      <c r="R705" s="78" t="str">
        <f>IFERROR(INDEX(CustomerDetails!$A$1:$C$469,CustomerDetails!$P691,COLUMNS($Q705:R705)),"")</f>
        <v/>
      </c>
      <c r="S705" s="78" t="str">
        <f>IFERROR(INDEX(CustomerDetails!$A$1:$C$469,CustomerDetails!$P691,COLUMNS($Q705:S705)),"")</f>
        <v/>
      </c>
    </row>
    <row r="706" spans="1:19" x14ac:dyDescent="0.3">
      <c r="A706" s="79"/>
      <c r="B706" s="79"/>
      <c r="Q706" s="78" t="str">
        <f>IFERROR(INDEX(CustomerDetails!$A$1:$C$469,CustomerDetails!$P692,COLUMNS($Q706:Q706)),"")</f>
        <v/>
      </c>
      <c r="R706" s="78" t="str">
        <f>IFERROR(INDEX(CustomerDetails!$A$1:$C$469,CustomerDetails!$P692,COLUMNS($Q706:R706)),"")</f>
        <v/>
      </c>
      <c r="S706" s="78" t="str">
        <f>IFERROR(INDEX(CustomerDetails!$A$1:$C$469,CustomerDetails!$P692,COLUMNS($Q706:S706)),"")</f>
        <v/>
      </c>
    </row>
    <row r="707" spans="1:19" x14ac:dyDescent="0.3">
      <c r="A707" s="79"/>
      <c r="B707" s="79"/>
      <c r="Q707" s="78" t="str">
        <f>IFERROR(INDEX(CustomerDetails!$A$1:$C$469,CustomerDetails!$P693,COLUMNS($Q707:Q707)),"")</f>
        <v/>
      </c>
      <c r="R707" s="78" t="str">
        <f>IFERROR(INDEX(CustomerDetails!$A$1:$C$469,CustomerDetails!$P693,COLUMNS($Q707:R707)),"")</f>
        <v/>
      </c>
      <c r="S707" s="78" t="str">
        <f>IFERROR(INDEX(CustomerDetails!$A$1:$C$469,CustomerDetails!$P693,COLUMNS($Q707:S707)),"")</f>
        <v/>
      </c>
    </row>
    <row r="708" spans="1:19" x14ac:dyDescent="0.3">
      <c r="A708" s="79"/>
      <c r="B708" s="79"/>
      <c r="Q708" s="78" t="str">
        <f>IFERROR(INDEX(CustomerDetails!$A$1:$C$469,CustomerDetails!$P694,COLUMNS($Q708:Q708)),"")</f>
        <v/>
      </c>
      <c r="R708" s="78" t="str">
        <f>IFERROR(INDEX(CustomerDetails!$A$1:$C$469,CustomerDetails!$P694,COLUMNS($Q708:R708)),"")</f>
        <v/>
      </c>
      <c r="S708" s="78" t="str">
        <f>IFERROR(INDEX(CustomerDetails!$A$1:$C$469,CustomerDetails!$P694,COLUMNS($Q708:S708)),"")</f>
        <v/>
      </c>
    </row>
    <row r="709" spans="1:19" x14ac:dyDescent="0.3">
      <c r="A709" s="79"/>
      <c r="B709" s="79"/>
      <c r="Q709" s="78" t="str">
        <f>IFERROR(INDEX(CustomerDetails!$A$1:$C$469,CustomerDetails!$P695,COLUMNS($Q709:Q709)),"")</f>
        <v/>
      </c>
      <c r="R709" s="78" t="str">
        <f>IFERROR(INDEX(CustomerDetails!$A$1:$C$469,CustomerDetails!$P695,COLUMNS($Q709:R709)),"")</f>
        <v/>
      </c>
      <c r="S709" s="78" t="str">
        <f>IFERROR(INDEX(CustomerDetails!$A$1:$C$469,CustomerDetails!$P695,COLUMNS($Q709:S709)),"")</f>
        <v/>
      </c>
    </row>
    <row r="710" spans="1:19" x14ac:dyDescent="0.3">
      <c r="A710" s="79"/>
      <c r="B710" s="79"/>
      <c r="Q710" s="78" t="str">
        <f>IFERROR(INDEX(CustomerDetails!$A$1:$C$469,CustomerDetails!$P696,COLUMNS($Q710:Q710)),"")</f>
        <v/>
      </c>
      <c r="R710" s="78" t="str">
        <f>IFERROR(INDEX(CustomerDetails!$A$1:$C$469,CustomerDetails!$P696,COLUMNS($Q710:R710)),"")</f>
        <v/>
      </c>
      <c r="S710" s="78" t="str">
        <f>IFERROR(INDEX(CustomerDetails!$A$1:$C$469,CustomerDetails!$P696,COLUMNS($Q710:S710)),"")</f>
        <v/>
      </c>
    </row>
    <row r="711" spans="1:19" x14ac:dyDescent="0.3">
      <c r="A711" s="79"/>
      <c r="B711" s="79"/>
      <c r="Q711" s="78" t="str">
        <f>IFERROR(INDEX(CustomerDetails!$A$1:$C$469,CustomerDetails!$P697,COLUMNS($Q711:Q711)),"")</f>
        <v/>
      </c>
      <c r="R711" s="78" t="str">
        <f>IFERROR(INDEX(CustomerDetails!$A$1:$C$469,CustomerDetails!$P697,COLUMNS($Q711:R711)),"")</f>
        <v/>
      </c>
      <c r="S711" s="78" t="str">
        <f>IFERROR(INDEX(CustomerDetails!$A$1:$C$469,CustomerDetails!$P697,COLUMNS($Q711:S711)),"")</f>
        <v/>
      </c>
    </row>
    <row r="712" spans="1:19" x14ac:dyDescent="0.3">
      <c r="A712" s="79"/>
      <c r="B712" s="79"/>
      <c r="Q712" s="78" t="str">
        <f>IFERROR(INDEX(CustomerDetails!$A$1:$C$469,CustomerDetails!$P698,COLUMNS($Q712:Q712)),"")</f>
        <v/>
      </c>
      <c r="R712" s="78" t="str">
        <f>IFERROR(INDEX(CustomerDetails!$A$1:$C$469,CustomerDetails!$P698,COLUMNS($Q712:R712)),"")</f>
        <v/>
      </c>
      <c r="S712" s="78" t="str">
        <f>IFERROR(INDEX(CustomerDetails!$A$1:$C$469,CustomerDetails!$P698,COLUMNS($Q712:S712)),"")</f>
        <v/>
      </c>
    </row>
    <row r="713" spans="1:19" x14ac:dyDescent="0.3">
      <c r="A713" s="79"/>
      <c r="B713" s="79"/>
      <c r="Q713" s="78" t="str">
        <f>IFERROR(INDEX(CustomerDetails!$A$1:$C$469,CustomerDetails!$P699,COLUMNS($Q713:Q713)),"")</f>
        <v/>
      </c>
      <c r="R713" s="78" t="str">
        <f>IFERROR(INDEX(CustomerDetails!$A$1:$C$469,CustomerDetails!$P699,COLUMNS($Q713:R713)),"")</f>
        <v/>
      </c>
      <c r="S713" s="78" t="str">
        <f>IFERROR(INDEX(CustomerDetails!$A$1:$C$469,CustomerDetails!$P699,COLUMNS($Q713:S713)),"")</f>
        <v/>
      </c>
    </row>
    <row r="714" spans="1:19" x14ac:dyDescent="0.3">
      <c r="A714" s="79"/>
      <c r="B714" s="79"/>
      <c r="Q714" s="78" t="str">
        <f>IFERROR(INDEX(CustomerDetails!$A$1:$C$469,CustomerDetails!$P700,COLUMNS($Q714:Q714)),"")</f>
        <v/>
      </c>
      <c r="R714" s="78" t="str">
        <f>IFERROR(INDEX(CustomerDetails!$A$1:$C$469,CustomerDetails!$P700,COLUMNS($Q714:R714)),"")</f>
        <v/>
      </c>
      <c r="S714" s="78" t="str">
        <f>IFERROR(INDEX(CustomerDetails!$A$1:$C$469,CustomerDetails!$P700,COLUMNS($Q714:S714)),"")</f>
        <v/>
      </c>
    </row>
    <row r="715" spans="1:19" x14ac:dyDescent="0.3">
      <c r="A715" s="79"/>
      <c r="B715" s="79"/>
      <c r="Q715" s="78" t="str">
        <f>IFERROR(INDEX(CustomerDetails!$A$1:$C$469,CustomerDetails!$P701,COLUMNS($Q715:Q715)),"")</f>
        <v/>
      </c>
      <c r="R715" s="78" t="str">
        <f>IFERROR(INDEX(CustomerDetails!$A$1:$C$469,CustomerDetails!$P701,COLUMNS($Q715:R715)),"")</f>
        <v/>
      </c>
      <c r="S715" s="78" t="str">
        <f>IFERROR(INDEX(CustomerDetails!$A$1:$C$469,CustomerDetails!$P701,COLUMNS($Q715:S715)),"")</f>
        <v/>
      </c>
    </row>
    <row r="716" spans="1:19" x14ac:dyDescent="0.3">
      <c r="A716" s="79"/>
      <c r="B716" s="79"/>
      <c r="Q716" s="78" t="str">
        <f>IFERROR(INDEX(CustomerDetails!$A$1:$C$469,CustomerDetails!$P702,COLUMNS($Q716:Q716)),"")</f>
        <v/>
      </c>
      <c r="R716" s="78" t="str">
        <f>IFERROR(INDEX(CustomerDetails!$A$1:$C$469,CustomerDetails!$P702,COLUMNS($Q716:R716)),"")</f>
        <v/>
      </c>
      <c r="S716" s="78" t="str">
        <f>IFERROR(INDEX(CustomerDetails!$A$1:$C$469,CustomerDetails!$P702,COLUMNS($Q716:S716)),"")</f>
        <v/>
      </c>
    </row>
    <row r="717" spans="1:19" x14ac:dyDescent="0.3">
      <c r="A717" s="79"/>
      <c r="B717" s="79"/>
      <c r="Q717" s="78" t="str">
        <f>IFERROR(INDEX(CustomerDetails!$A$1:$C$469,CustomerDetails!$P703,COLUMNS($Q717:Q717)),"")</f>
        <v/>
      </c>
      <c r="R717" s="78" t="str">
        <f>IFERROR(INDEX(CustomerDetails!$A$1:$C$469,CustomerDetails!$P703,COLUMNS($Q717:R717)),"")</f>
        <v/>
      </c>
      <c r="S717" s="78" t="str">
        <f>IFERROR(INDEX(CustomerDetails!$A$1:$C$469,CustomerDetails!$P703,COLUMNS($Q717:S717)),"")</f>
        <v/>
      </c>
    </row>
    <row r="718" spans="1:19" x14ac:dyDescent="0.3">
      <c r="A718" s="79"/>
      <c r="B718" s="79"/>
      <c r="Q718" s="78" t="str">
        <f>IFERROR(INDEX(CustomerDetails!$A$1:$C$469,CustomerDetails!$P704,COLUMNS($Q718:Q718)),"")</f>
        <v/>
      </c>
      <c r="R718" s="78" t="str">
        <f>IFERROR(INDEX(CustomerDetails!$A$1:$C$469,CustomerDetails!$P704,COLUMNS($Q718:R718)),"")</f>
        <v/>
      </c>
      <c r="S718" s="78" t="str">
        <f>IFERROR(INDEX(CustomerDetails!$A$1:$C$469,CustomerDetails!$P704,COLUMNS($Q718:S718)),"")</f>
        <v/>
      </c>
    </row>
    <row r="719" spans="1:19" x14ac:dyDescent="0.3">
      <c r="A719" s="79"/>
      <c r="B719" s="79"/>
      <c r="Q719" s="78" t="str">
        <f>IFERROR(INDEX(CustomerDetails!$A$1:$C$469,CustomerDetails!$P705,COLUMNS($Q719:Q719)),"")</f>
        <v/>
      </c>
      <c r="R719" s="78" t="str">
        <f>IFERROR(INDEX(CustomerDetails!$A$1:$C$469,CustomerDetails!$P705,COLUMNS($Q719:R719)),"")</f>
        <v/>
      </c>
      <c r="S719" s="78" t="str">
        <f>IFERROR(INDEX(CustomerDetails!$A$1:$C$469,CustomerDetails!$P705,COLUMNS($Q719:S719)),"")</f>
        <v/>
      </c>
    </row>
    <row r="720" spans="1:19" x14ac:dyDescent="0.3">
      <c r="A720" s="79"/>
      <c r="B720" s="79"/>
      <c r="Q720" s="78" t="str">
        <f>IFERROR(INDEX(CustomerDetails!$A$1:$C$469,CustomerDetails!$P706,COLUMNS($Q720:Q720)),"")</f>
        <v/>
      </c>
      <c r="R720" s="78" t="str">
        <f>IFERROR(INDEX(CustomerDetails!$A$1:$C$469,CustomerDetails!$P706,COLUMNS($Q720:R720)),"")</f>
        <v/>
      </c>
      <c r="S720" s="78" t="str">
        <f>IFERROR(INDEX(CustomerDetails!$A$1:$C$469,CustomerDetails!$P706,COLUMNS($Q720:S720)),"")</f>
        <v/>
      </c>
    </row>
    <row r="721" spans="1:19" x14ac:dyDescent="0.3">
      <c r="A721" s="79"/>
      <c r="B721" s="79"/>
      <c r="Q721" s="78" t="str">
        <f>IFERROR(INDEX(CustomerDetails!$A$1:$C$469,CustomerDetails!$P707,COLUMNS($Q721:Q721)),"")</f>
        <v/>
      </c>
      <c r="R721" s="78" t="str">
        <f>IFERROR(INDEX(CustomerDetails!$A$1:$C$469,CustomerDetails!$P707,COLUMNS($Q721:R721)),"")</f>
        <v/>
      </c>
      <c r="S721" s="78" t="str">
        <f>IFERROR(INDEX(CustomerDetails!$A$1:$C$469,CustomerDetails!$P707,COLUMNS($Q721:S721)),"")</f>
        <v/>
      </c>
    </row>
    <row r="722" spans="1:19" x14ac:dyDescent="0.3">
      <c r="A722" s="79"/>
      <c r="B722" s="79"/>
      <c r="Q722" s="78" t="str">
        <f>IFERROR(INDEX(CustomerDetails!$A$1:$C$469,CustomerDetails!$P708,COLUMNS($Q722:Q722)),"")</f>
        <v/>
      </c>
      <c r="R722" s="78" t="str">
        <f>IFERROR(INDEX(CustomerDetails!$A$1:$C$469,CustomerDetails!$P708,COLUMNS($Q722:R722)),"")</f>
        <v/>
      </c>
      <c r="S722" s="78" t="str">
        <f>IFERROR(INDEX(CustomerDetails!$A$1:$C$469,CustomerDetails!$P708,COLUMNS($Q722:S722)),"")</f>
        <v/>
      </c>
    </row>
    <row r="723" spans="1:19" x14ac:dyDescent="0.3">
      <c r="A723" s="79"/>
      <c r="B723" s="79"/>
      <c r="Q723" s="78" t="str">
        <f>IFERROR(INDEX(CustomerDetails!$A$1:$C$469,CustomerDetails!$P709,COLUMNS($Q723:Q723)),"")</f>
        <v/>
      </c>
      <c r="R723" s="78" t="str">
        <f>IFERROR(INDEX(CustomerDetails!$A$1:$C$469,CustomerDetails!$P709,COLUMNS($Q723:R723)),"")</f>
        <v/>
      </c>
      <c r="S723" s="78" t="str">
        <f>IFERROR(INDEX(CustomerDetails!$A$1:$C$469,CustomerDetails!$P709,COLUMNS($Q723:S723)),"")</f>
        <v/>
      </c>
    </row>
    <row r="724" spans="1:19" x14ac:dyDescent="0.3">
      <c r="A724" s="79"/>
      <c r="B724" s="79"/>
      <c r="Q724" s="78" t="str">
        <f>IFERROR(INDEX(CustomerDetails!$A$1:$C$469,CustomerDetails!$P710,COLUMNS($Q724:Q724)),"")</f>
        <v/>
      </c>
      <c r="R724" s="78" t="str">
        <f>IFERROR(INDEX(CustomerDetails!$A$1:$C$469,CustomerDetails!$P710,COLUMNS($Q724:R724)),"")</f>
        <v/>
      </c>
      <c r="S724" s="78" t="str">
        <f>IFERROR(INDEX(CustomerDetails!$A$1:$C$469,CustomerDetails!$P710,COLUMNS($Q724:S724)),"")</f>
        <v/>
      </c>
    </row>
    <row r="725" spans="1:19" x14ac:dyDescent="0.3">
      <c r="A725" s="79"/>
      <c r="B725" s="79"/>
      <c r="Q725" s="78" t="str">
        <f>IFERROR(INDEX(CustomerDetails!$A$1:$C$469,CustomerDetails!$P711,COLUMNS($Q725:Q725)),"")</f>
        <v/>
      </c>
      <c r="R725" s="78" t="str">
        <f>IFERROR(INDEX(CustomerDetails!$A$1:$C$469,CustomerDetails!$P711,COLUMNS($Q725:R725)),"")</f>
        <v/>
      </c>
      <c r="S725" s="78" t="str">
        <f>IFERROR(INDEX(CustomerDetails!$A$1:$C$469,CustomerDetails!$P711,COLUMNS($Q725:S725)),"")</f>
        <v/>
      </c>
    </row>
    <row r="726" spans="1:19" x14ac:dyDescent="0.3">
      <c r="A726" s="79"/>
      <c r="B726" s="79"/>
      <c r="Q726" s="78" t="str">
        <f>IFERROR(INDEX(CustomerDetails!$A$1:$C$469,CustomerDetails!$P712,COLUMNS($Q726:Q726)),"")</f>
        <v/>
      </c>
      <c r="R726" s="78" t="str">
        <f>IFERROR(INDEX(CustomerDetails!$A$1:$C$469,CustomerDetails!$P712,COLUMNS($Q726:R726)),"")</f>
        <v/>
      </c>
      <c r="S726" s="78" t="str">
        <f>IFERROR(INDEX(CustomerDetails!$A$1:$C$469,CustomerDetails!$P712,COLUMNS($Q726:S726)),"")</f>
        <v/>
      </c>
    </row>
    <row r="727" spans="1:19" x14ac:dyDescent="0.3">
      <c r="A727" s="79"/>
      <c r="B727" s="79"/>
      <c r="Q727" s="78" t="str">
        <f>IFERROR(INDEX(CustomerDetails!$A$1:$C$469,CustomerDetails!$P713,COLUMNS($Q727:Q727)),"")</f>
        <v/>
      </c>
      <c r="R727" s="78" t="str">
        <f>IFERROR(INDEX(CustomerDetails!$A$1:$C$469,CustomerDetails!$P713,COLUMNS($Q727:R727)),"")</f>
        <v/>
      </c>
      <c r="S727" s="78" t="str">
        <f>IFERROR(INDEX(CustomerDetails!$A$1:$C$469,CustomerDetails!$P713,COLUMNS($Q727:S727)),"")</f>
        <v/>
      </c>
    </row>
    <row r="728" spans="1:19" x14ac:dyDescent="0.3">
      <c r="Q728" s="78" t="str">
        <f>IFERROR(INDEX(CustomerDetails!$A$1:$C$469,CustomerDetails!$P714,COLUMNS($Q728:Q728)),"")</f>
        <v/>
      </c>
      <c r="R728" s="78" t="str">
        <f>IFERROR(INDEX(CustomerDetails!$A$1:$C$469,CustomerDetails!$P714,COLUMNS($Q728:R728)),"")</f>
        <v/>
      </c>
      <c r="S728" s="78" t="str">
        <f>IFERROR(INDEX(CustomerDetails!$A$1:$C$469,CustomerDetails!$P714,COLUMNS($Q728:S728)),"")</f>
        <v/>
      </c>
    </row>
    <row r="729" spans="1:19" x14ac:dyDescent="0.3">
      <c r="Q729" s="78"/>
      <c r="R729" s="78"/>
      <c r="S729" s="78"/>
    </row>
    <row r="730" spans="1:19" x14ac:dyDescent="0.3">
      <c r="Q730" s="78"/>
      <c r="R730" s="78"/>
      <c r="S730" s="78"/>
    </row>
    <row r="731" spans="1:19" x14ac:dyDescent="0.3">
      <c r="Q731" s="78"/>
      <c r="R731" s="78"/>
      <c r="S731" s="78"/>
    </row>
    <row r="732" spans="1:19" x14ac:dyDescent="0.3">
      <c r="Q732" s="78"/>
      <c r="R732" s="78"/>
      <c r="S732" s="78"/>
    </row>
    <row r="733" spans="1:19" x14ac:dyDescent="0.3">
      <c r="Q733" s="78"/>
      <c r="R733" s="78"/>
      <c r="S733" s="78"/>
    </row>
    <row r="734" spans="1:19" x14ac:dyDescent="0.3">
      <c r="Q734" s="78"/>
      <c r="R734" s="78"/>
      <c r="S734" s="78"/>
    </row>
    <row r="735" spans="1:19" x14ac:dyDescent="0.3">
      <c r="Q735" s="78"/>
      <c r="R735" s="78"/>
      <c r="S735" s="78"/>
    </row>
    <row r="736" spans="1:19" x14ac:dyDescent="0.3">
      <c r="Q736" s="78"/>
      <c r="R736" s="78"/>
      <c r="S736" s="78"/>
    </row>
    <row r="737" spans="17:19" x14ac:dyDescent="0.3">
      <c r="Q737" s="78"/>
      <c r="R737" s="78"/>
      <c r="S737" s="78"/>
    </row>
    <row r="738" spans="17:19" x14ac:dyDescent="0.3">
      <c r="Q738" s="78"/>
      <c r="R738" s="78"/>
      <c r="S738" s="78"/>
    </row>
    <row r="739" spans="17:19" x14ac:dyDescent="0.3">
      <c r="Q739" s="78"/>
      <c r="R739" s="78"/>
      <c r="S739" s="78"/>
    </row>
    <row r="740" spans="17:19" x14ac:dyDescent="0.3">
      <c r="Q740" s="78"/>
      <c r="R740" s="78"/>
      <c r="S740" s="78"/>
    </row>
    <row r="741" spans="17:19" x14ac:dyDescent="0.3">
      <c r="Q741" s="78"/>
      <c r="R741" s="78"/>
      <c r="S741" s="78"/>
    </row>
    <row r="742" spans="17:19" x14ac:dyDescent="0.3">
      <c r="Q742" s="78"/>
      <c r="R742" s="78"/>
      <c r="S742" s="78"/>
    </row>
    <row r="743" spans="17:19" x14ac:dyDescent="0.3">
      <c r="Q743" s="78"/>
      <c r="R743" s="78"/>
      <c r="S743" s="78"/>
    </row>
    <row r="744" spans="17:19" x14ac:dyDescent="0.3">
      <c r="Q744" s="78"/>
      <c r="R744" s="78"/>
      <c r="S744" s="78"/>
    </row>
    <row r="745" spans="17:19" x14ac:dyDescent="0.3">
      <c r="Q745" s="78"/>
      <c r="R745" s="78"/>
      <c r="S745" s="78"/>
    </row>
    <row r="746" spans="17:19" x14ac:dyDescent="0.3">
      <c r="Q746" s="78"/>
      <c r="R746" s="78"/>
      <c r="S746" s="78"/>
    </row>
    <row r="747" spans="17:19" x14ac:dyDescent="0.3">
      <c r="Q747" s="78"/>
      <c r="R747" s="78"/>
      <c r="S747" s="78"/>
    </row>
    <row r="748" spans="17:19" x14ac:dyDescent="0.3">
      <c r="Q748" s="78"/>
      <c r="R748" s="78"/>
      <c r="S748" s="78"/>
    </row>
    <row r="749" spans="17:19" x14ac:dyDescent="0.3">
      <c r="Q749" s="78"/>
      <c r="R749" s="78"/>
      <c r="S749" s="78"/>
    </row>
    <row r="750" spans="17:19" x14ac:dyDescent="0.3">
      <c r="Q750" s="78"/>
      <c r="R750" s="78"/>
      <c r="S750" s="78"/>
    </row>
    <row r="751" spans="17:19" x14ac:dyDescent="0.3">
      <c r="Q751" s="78"/>
      <c r="R751" s="78"/>
      <c r="S751" s="78"/>
    </row>
    <row r="752" spans="17:19" x14ac:dyDescent="0.3">
      <c r="Q752" s="78"/>
      <c r="R752" s="78"/>
      <c r="S752" s="78"/>
    </row>
    <row r="753" spans="17:19" x14ac:dyDescent="0.3">
      <c r="Q753" s="78"/>
      <c r="R753" s="78"/>
      <c r="S753" s="78"/>
    </row>
    <row r="754" spans="17:19" x14ac:dyDescent="0.3">
      <c r="Q754" s="78"/>
      <c r="R754" s="78"/>
      <c r="S754" s="78"/>
    </row>
    <row r="755" spans="17:19" x14ac:dyDescent="0.3">
      <c r="Q755" s="78"/>
      <c r="R755" s="78"/>
      <c r="S755" s="78"/>
    </row>
    <row r="756" spans="17:19" x14ac:dyDescent="0.3">
      <c r="Q756" s="78"/>
      <c r="R756" s="78"/>
      <c r="S756" s="78"/>
    </row>
    <row r="757" spans="17:19" x14ac:dyDescent="0.3">
      <c r="Q757" s="78"/>
      <c r="R757" s="78"/>
      <c r="S757" s="78"/>
    </row>
    <row r="758" spans="17:19" x14ac:dyDescent="0.3">
      <c r="Q758" s="78"/>
      <c r="R758" s="78"/>
      <c r="S758" s="78"/>
    </row>
    <row r="759" spans="17:19" x14ac:dyDescent="0.3">
      <c r="Q759" s="78"/>
      <c r="R759" s="78"/>
      <c r="S759" s="78"/>
    </row>
    <row r="760" spans="17:19" x14ac:dyDescent="0.3">
      <c r="Q760" s="78"/>
      <c r="R760" s="78"/>
      <c r="S760" s="78"/>
    </row>
    <row r="761" spans="17:19" x14ac:dyDescent="0.3">
      <c r="Q761" s="78"/>
      <c r="R761" s="78"/>
      <c r="S761" s="78"/>
    </row>
    <row r="762" spans="17:19" x14ac:dyDescent="0.3">
      <c r="Q762" s="78"/>
      <c r="R762" s="78"/>
      <c r="S762" s="78"/>
    </row>
    <row r="763" spans="17:19" x14ac:dyDescent="0.3">
      <c r="Q763" s="78"/>
      <c r="R763" s="78"/>
      <c r="S763" s="78"/>
    </row>
    <row r="764" spans="17:19" x14ac:dyDescent="0.3">
      <c r="Q764" s="78"/>
      <c r="R764" s="78"/>
      <c r="S764" s="78"/>
    </row>
    <row r="765" spans="17:19" x14ac:dyDescent="0.3">
      <c r="Q765" s="78"/>
      <c r="R765" s="78"/>
      <c r="S765" s="78"/>
    </row>
    <row r="766" spans="17:19" x14ac:dyDescent="0.3">
      <c r="Q766" s="78"/>
      <c r="R766" s="78"/>
      <c r="S766" s="78"/>
    </row>
    <row r="767" spans="17:19" x14ac:dyDescent="0.3">
      <c r="Q767" s="78"/>
      <c r="R767" s="78"/>
      <c r="S767" s="78"/>
    </row>
    <row r="768" spans="17:19" x14ac:dyDescent="0.3">
      <c r="Q768" s="78"/>
      <c r="R768" s="78"/>
      <c r="S768" s="78"/>
    </row>
    <row r="769" spans="17:19" x14ac:dyDescent="0.3">
      <c r="Q769" s="78"/>
      <c r="R769" s="78"/>
      <c r="S769" s="78"/>
    </row>
    <row r="770" spans="17:19" x14ac:dyDescent="0.3">
      <c r="Q770" s="78"/>
      <c r="R770" s="78"/>
      <c r="S770" s="78"/>
    </row>
    <row r="771" spans="17:19" x14ac:dyDescent="0.3">
      <c r="Q771" s="78"/>
      <c r="R771" s="78"/>
      <c r="S771" s="78"/>
    </row>
    <row r="772" spans="17:19" x14ac:dyDescent="0.3">
      <c r="Q772" s="78"/>
      <c r="R772" s="78"/>
      <c r="S772" s="78"/>
    </row>
    <row r="773" spans="17:19" x14ac:dyDescent="0.3">
      <c r="Q773" s="78"/>
      <c r="R773" s="78"/>
      <c r="S773" s="78"/>
    </row>
    <row r="774" spans="17:19" x14ac:dyDescent="0.3">
      <c r="Q774" s="78"/>
      <c r="R774" s="78"/>
      <c r="S774" s="78"/>
    </row>
    <row r="775" spans="17:19" x14ac:dyDescent="0.3">
      <c r="Q775" s="78"/>
      <c r="R775" s="78"/>
      <c r="S775" s="78"/>
    </row>
    <row r="776" spans="17:19" x14ac:dyDescent="0.3">
      <c r="Q776" s="78"/>
      <c r="R776" s="78"/>
      <c r="S776" s="78"/>
    </row>
    <row r="777" spans="17:19" x14ac:dyDescent="0.3">
      <c r="Q777" s="78"/>
      <c r="R777" s="78"/>
      <c r="S777" s="78"/>
    </row>
    <row r="778" spans="17:19" x14ac:dyDescent="0.3">
      <c r="Q778" s="78"/>
      <c r="R778" s="78"/>
      <c r="S778" s="78"/>
    </row>
    <row r="779" spans="17:19" x14ac:dyDescent="0.3">
      <c r="Q779" s="78"/>
      <c r="R779" s="78"/>
      <c r="S779" s="78"/>
    </row>
    <row r="780" spans="17:19" x14ac:dyDescent="0.3">
      <c r="Q780" s="78"/>
      <c r="R780" s="78"/>
      <c r="S780" s="78"/>
    </row>
    <row r="781" spans="17:19" x14ac:dyDescent="0.3">
      <c r="Q781" s="78"/>
      <c r="R781" s="78"/>
      <c r="S781" s="78"/>
    </row>
    <row r="782" spans="17:19" x14ac:dyDescent="0.3">
      <c r="Q782" s="78"/>
      <c r="R782" s="78"/>
      <c r="S782" s="78"/>
    </row>
    <row r="783" spans="17:19" x14ac:dyDescent="0.3">
      <c r="Q783" s="78"/>
      <c r="R783" s="78"/>
      <c r="S783" s="78"/>
    </row>
    <row r="784" spans="17:19" x14ac:dyDescent="0.3">
      <c r="Q784" s="78"/>
      <c r="R784" s="78"/>
      <c r="S784" s="78"/>
    </row>
    <row r="785" spans="17:19" x14ac:dyDescent="0.3">
      <c r="Q785" s="78"/>
      <c r="R785" s="78"/>
      <c r="S785" s="78"/>
    </row>
    <row r="786" spans="17:19" x14ac:dyDescent="0.3">
      <c r="Q786" s="78"/>
      <c r="R786" s="78"/>
      <c r="S786" s="78"/>
    </row>
    <row r="787" spans="17:19" x14ac:dyDescent="0.3">
      <c r="Q787" s="78"/>
      <c r="R787" s="78"/>
      <c r="S787" s="78"/>
    </row>
    <row r="788" spans="17:19" x14ac:dyDescent="0.3">
      <c r="Q788" s="78"/>
      <c r="R788" s="78"/>
      <c r="S788" s="78"/>
    </row>
    <row r="789" spans="17:19" x14ac:dyDescent="0.3">
      <c r="Q789" s="78"/>
      <c r="R789" s="78"/>
      <c r="S789" s="78"/>
    </row>
    <row r="790" spans="17:19" x14ac:dyDescent="0.3">
      <c r="Q790" s="78"/>
      <c r="R790" s="78"/>
      <c r="S790" s="78"/>
    </row>
    <row r="791" spans="17:19" x14ac:dyDescent="0.3">
      <c r="Q791" s="78"/>
      <c r="R791" s="78"/>
      <c r="S791" s="78"/>
    </row>
    <row r="792" spans="17:19" x14ac:dyDescent="0.3">
      <c r="Q792" s="78"/>
      <c r="R792" s="78"/>
      <c r="S792" s="78"/>
    </row>
    <row r="793" spans="17:19" x14ac:dyDescent="0.3">
      <c r="Q793" s="78"/>
      <c r="R793" s="78"/>
      <c r="S793" s="78"/>
    </row>
    <row r="794" spans="17:19" x14ac:dyDescent="0.3">
      <c r="Q794" s="78"/>
      <c r="R794" s="78"/>
      <c r="S794" s="78"/>
    </row>
    <row r="795" spans="17:19" x14ac:dyDescent="0.3">
      <c r="Q795" s="78"/>
      <c r="R795" s="78"/>
      <c r="S795" s="78"/>
    </row>
    <row r="796" spans="17:19" x14ac:dyDescent="0.3">
      <c r="Q796" s="78"/>
      <c r="R796" s="78"/>
      <c r="S796" s="78"/>
    </row>
    <row r="797" spans="17:19" x14ac:dyDescent="0.3">
      <c r="Q797" s="78"/>
      <c r="R797" s="78"/>
      <c r="S797" s="78"/>
    </row>
    <row r="798" spans="17:19" x14ac:dyDescent="0.3">
      <c r="Q798" s="78"/>
      <c r="R798" s="78"/>
      <c r="S798" s="78"/>
    </row>
    <row r="799" spans="17:19" x14ac:dyDescent="0.3">
      <c r="Q799" s="78"/>
      <c r="R799" s="78"/>
      <c r="S799" s="78"/>
    </row>
    <row r="800" spans="17:19" x14ac:dyDescent="0.3">
      <c r="Q800" s="78"/>
      <c r="R800" s="78"/>
      <c r="S800" s="78"/>
    </row>
    <row r="801" spans="17:19" x14ac:dyDescent="0.3">
      <c r="Q801" s="78"/>
      <c r="R801" s="78"/>
      <c r="S801" s="78"/>
    </row>
    <row r="802" spans="17:19" x14ac:dyDescent="0.3">
      <c r="Q802" s="78"/>
      <c r="R802" s="78"/>
      <c r="S802" s="78"/>
    </row>
    <row r="803" spans="17:19" x14ac:dyDescent="0.3">
      <c r="Q803" s="78"/>
      <c r="R803" s="78"/>
      <c r="S803" s="78"/>
    </row>
    <row r="804" spans="17:19" x14ac:dyDescent="0.3">
      <c r="Q804" s="78"/>
      <c r="R804" s="78"/>
      <c r="S804" s="78"/>
    </row>
    <row r="805" spans="17:19" x14ac:dyDescent="0.3">
      <c r="Q805" s="78"/>
      <c r="R805" s="78"/>
      <c r="S805" s="78"/>
    </row>
    <row r="806" spans="17:19" x14ac:dyDescent="0.3">
      <c r="Q806" s="78"/>
      <c r="R806" s="78"/>
      <c r="S806" s="78"/>
    </row>
    <row r="807" spans="17:19" x14ac:dyDescent="0.3">
      <c r="Q807" s="78"/>
      <c r="R807" s="78"/>
      <c r="S807" s="78"/>
    </row>
    <row r="808" spans="17:19" x14ac:dyDescent="0.3">
      <c r="Q808" s="78"/>
      <c r="R808" s="78"/>
      <c r="S808" s="78"/>
    </row>
    <row r="809" spans="17:19" x14ac:dyDescent="0.3">
      <c r="Q809" s="78"/>
      <c r="R809" s="78"/>
      <c r="S809" s="78"/>
    </row>
    <row r="810" spans="17:19" x14ac:dyDescent="0.3">
      <c r="Q810" s="78"/>
      <c r="R810" s="78"/>
      <c r="S810" s="78"/>
    </row>
    <row r="811" spans="17:19" x14ac:dyDescent="0.3">
      <c r="Q811" s="78"/>
      <c r="R811" s="78"/>
      <c r="S811" s="78"/>
    </row>
    <row r="812" spans="17:19" x14ac:dyDescent="0.3">
      <c r="Q812" s="78"/>
      <c r="R812" s="78"/>
      <c r="S812" s="78"/>
    </row>
    <row r="813" spans="17:19" x14ac:dyDescent="0.3">
      <c r="Q813" s="78"/>
      <c r="R813" s="78"/>
      <c r="S813" s="78"/>
    </row>
    <row r="814" spans="17:19" x14ac:dyDescent="0.3">
      <c r="Q814" s="78"/>
      <c r="R814" s="78"/>
      <c r="S814" s="78"/>
    </row>
    <row r="815" spans="17:19" x14ac:dyDescent="0.3">
      <c r="Q815" s="78"/>
      <c r="R815" s="78"/>
      <c r="S815" s="78"/>
    </row>
    <row r="816" spans="17:19" x14ac:dyDescent="0.3">
      <c r="Q816" s="78"/>
      <c r="R816" s="78"/>
      <c r="S816" s="78"/>
    </row>
    <row r="817" spans="17:19" x14ac:dyDescent="0.3">
      <c r="Q817" s="78"/>
      <c r="R817" s="78"/>
      <c r="S817" s="78"/>
    </row>
    <row r="818" spans="17:19" x14ac:dyDescent="0.3">
      <c r="Q818" s="78"/>
      <c r="R818" s="78"/>
      <c r="S818" s="78"/>
    </row>
    <row r="819" spans="17:19" x14ac:dyDescent="0.3">
      <c r="Q819" s="78"/>
      <c r="R819" s="78"/>
      <c r="S819" s="78"/>
    </row>
    <row r="820" spans="17:19" x14ac:dyDescent="0.3">
      <c r="Q820" s="78"/>
      <c r="R820" s="78"/>
      <c r="S820" s="78"/>
    </row>
    <row r="821" spans="17:19" x14ac:dyDescent="0.3">
      <c r="Q821" s="78"/>
      <c r="R821" s="78"/>
      <c r="S821" s="78"/>
    </row>
    <row r="822" spans="17:19" x14ac:dyDescent="0.3">
      <c r="Q822" s="78"/>
      <c r="R822" s="78"/>
      <c r="S822" s="78"/>
    </row>
    <row r="823" spans="17:19" x14ac:dyDescent="0.3">
      <c r="Q823" s="78"/>
      <c r="R823" s="78"/>
      <c r="S823" s="78"/>
    </row>
    <row r="824" spans="17:19" x14ac:dyDescent="0.3">
      <c r="Q824" s="78"/>
      <c r="R824" s="78"/>
      <c r="S824" s="78"/>
    </row>
    <row r="825" spans="17:19" x14ac:dyDescent="0.3">
      <c r="Q825" s="78"/>
      <c r="R825" s="78"/>
      <c r="S825" s="78"/>
    </row>
    <row r="826" spans="17:19" x14ac:dyDescent="0.3">
      <c r="Q826" s="78"/>
      <c r="R826" s="78"/>
      <c r="S826" s="78"/>
    </row>
    <row r="827" spans="17:19" x14ac:dyDescent="0.3">
      <c r="Q827" s="78"/>
      <c r="R827" s="78"/>
      <c r="S827" s="78"/>
    </row>
    <row r="828" spans="17:19" x14ac:dyDescent="0.3">
      <c r="Q828" s="78"/>
      <c r="R828" s="78"/>
      <c r="S828" s="78"/>
    </row>
    <row r="829" spans="17:19" x14ac:dyDescent="0.3">
      <c r="Q829" s="78"/>
      <c r="R829" s="78"/>
      <c r="S829" s="78"/>
    </row>
    <row r="830" spans="17:19" x14ac:dyDescent="0.3">
      <c r="Q830" s="78"/>
      <c r="R830" s="78"/>
      <c r="S830" s="78"/>
    </row>
    <row r="831" spans="17:19" x14ac:dyDescent="0.3">
      <c r="Q831" s="78"/>
      <c r="R831" s="78"/>
      <c r="S831" s="78"/>
    </row>
    <row r="832" spans="17:19" x14ac:dyDescent="0.3">
      <c r="Q832" s="78"/>
      <c r="R832" s="78"/>
      <c r="S832" s="78"/>
    </row>
    <row r="833" spans="17:19" x14ac:dyDescent="0.3">
      <c r="Q833" s="78"/>
      <c r="R833" s="78"/>
      <c r="S833" s="78"/>
    </row>
    <row r="834" spans="17:19" x14ac:dyDescent="0.3">
      <c r="Q834" s="78"/>
      <c r="R834" s="78"/>
      <c r="S834" s="78"/>
    </row>
    <row r="835" spans="17:19" x14ac:dyDescent="0.3">
      <c r="Q835" s="78"/>
      <c r="R835" s="78"/>
      <c r="S835" s="78"/>
    </row>
    <row r="836" spans="17:19" x14ac:dyDescent="0.3">
      <c r="Q836" s="78"/>
      <c r="R836" s="78"/>
      <c r="S836" s="78"/>
    </row>
    <row r="837" spans="17:19" x14ac:dyDescent="0.3">
      <c r="Q837" s="78"/>
      <c r="R837" s="78"/>
      <c r="S837" s="78"/>
    </row>
    <row r="838" spans="17:19" x14ac:dyDescent="0.3">
      <c r="Q838" s="78"/>
      <c r="R838" s="78"/>
      <c r="S838" s="78"/>
    </row>
    <row r="839" spans="17:19" x14ac:dyDescent="0.3">
      <c r="Q839" s="78"/>
      <c r="R839" s="78"/>
      <c r="S839" s="78"/>
    </row>
    <row r="840" spans="17:19" x14ac:dyDescent="0.3">
      <c r="Q840" s="78"/>
      <c r="R840" s="78"/>
      <c r="S840" s="78"/>
    </row>
    <row r="841" spans="17:19" x14ac:dyDescent="0.3">
      <c r="Q841" s="78"/>
      <c r="R841" s="78"/>
      <c r="S841" s="78"/>
    </row>
    <row r="842" spans="17:19" x14ac:dyDescent="0.3">
      <c r="Q842" s="78"/>
      <c r="R842" s="78"/>
      <c r="S842" s="78"/>
    </row>
    <row r="843" spans="17:19" x14ac:dyDescent="0.3">
      <c r="Q843" s="78"/>
      <c r="R843" s="78"/>
      <c r="S843" s="78"/>
    </row>
    <row r="844" spans="17:19" x14ac:dyDescent="0.3">
      <c r="Q844" s="78"/>
      <c r="R844" s="78"/>
      <c r="S844" s="78"/>
    </row>
    <row r="845" spans="17:19" x14ac:dyDescent="0.3">
      <c r="Q845" s="78"/>
      <c r="R845" s="78"/>
      <c r="S845" s="78"/>
    </row>
    <row r="846" spans="17:19" x14ac:dyDescent="0.3">
      <c r="Q846" s="78"/>
      <c r="R846" s="78"/>
      <c r="S846" s="78"/>
    </row>
    <row r="847" spans="17:19" x14ac:dyDescent="0.3">
      <c r="Q847" s="78"/>
      <c r="R847" s="78"/>
      <c r="S847" s="78"/>
    </row>
    <row r="848" spans="17:19" x14ac:dyDescent="0.3">
      <c r="Q848" s="78"/>
      <c r="R848" s="78"/>
      <c r="S848" s="78"/>
    </row>
    <row r="849" spans="17:19" x14ac:dyDescent="0.3">
      <c r="Q849" s="78"/>
      <c r="R849" s="78"/>
      <c r="S849" s="78"/>
    </row>
    <row r="850" spans="17:19" x14ac:dyDescent="0.3">
      <c r="Q850" s="78"/>
      <c r="R850" s="78"/>
      <c r="S850" s="78"/>
    </row>
    <row r="851" spans="17:19" x14ac:dyDescent="0.3">
      <c r="Q851" s="78"/>
      <c r="R851" s="78"/>
      <c r="S851" s="78"/>
    </row>
    <row r="852" spans="17:19" x14ac:dyDescent="0.3">
      <c r="Q852" s="78"/>
      <c r="R852" s="78"/>
      <c r="S852" s="78"/>
    </row>
    <row r="853" spans="17:19" x14ac:dyDescent="0.3">
      <c r="Q853" s="78"/>
      <c r="R853" s="78"/>
      <c r="S853" s="78"/>
    </row>
    <row r="854" spans="17:19" x14ac:dyDescent="0.3">
      <c r="Q854" s="78"/>
      <c r="R854" s="78"/>
      <c r="S854" s="78"/>
    </row>
    <row r="855" spans="17:19" x14ac:dyDescent="0.3">
      <c r="Q855" s="78"/>
      <c r="R855" s="78"/>
      <c r="S855" s="78"/>
    </row>
    <row r="856" spans="17:19" x14ac:dyDescent="0.3">
      <c r="Q856" s="78"/>
      <c r="R856" s="78"/>
      <c r="S856" s="78"/>
    </row>
    <row r="857" spans="17:19" x14ac:dyDescent="0.3">
      <c r="Q857" s="78"/>
      <c r="R857" s="78"/>
      <c r="S857" s="78"/>
    </row>
    <row r="858" spans="17:19" x14ac:dyDescent="0.3">
      <c r="Q858" s="78"/>
      <c r="R858" s="78"/>
      <c r="S858" s="78"/>
    </row>
    <row r="859" spans="17:19" x14ac:dyDescent="0.3">
      <c r="Q859" s="78"/>
      <c r="R859" s="78"/>
      <c r="S859" s="78"/>
    </row>
    <row r="860" spans="17:19" x14ac:dyDescent="0.3">
      <c r="Q860" s="78"/>
      <c r="R860" s="78"/>
      <c r="S860" s="78"/>
    </row>
    <row r="861" spans="17:19" x14ac:dyDescent="0.3">
      <c r="Q861" s="78"/>
      <c r="R861" s="78"/>
      <c r="S861" s="78"/>
    </row>
    <row r="862" spans="17:19" x14ac:dyDescent="0.3">
      <c r="Q862" s="78"/>
      <c r="R862" s="78"/>
      <c r="S862" s="78"/>
    </row>
    <row r="863" spans="17:19" x14ac:dyDescent="0.3">
      <c r="Q863" s="78"/>
      <c r="R863" s="78"/>
      <c r="S863" s="78"/>
    </row>
    <row r="864" spans="17:19" x14ac:dyDescent="0.3">
      <c r="Q864" s="78"/>
      <c r="R864" s="78"/>
      <c r="S864" s="78"/>
    </row>
    <row r="865" spans="17:19" x14ac:dyDescent="0.3">
      <c r="Q865" s="78"/>
      <c r="R865" s="78"/>
      <c r="S865" s="78"/>
    </row>
    <row r="866" spans="17:19" x14ac:dyDescent="0.3">
      <c r="Q866" s="78"/>
      <c r="R866" s="78"/>
      <c r="S866" s="78"/>
    </row>
    <row r="867" spans="17:19" x14ac:dyDescent="0.3">
      <c r="Q867" s="78"/>
      <c r="R867" s="78"/>
      <c r="S867" s="78"/>
    </row>
    <row r="868" spans="17:19" x14ac:dyDescent="0.3">
      <c r="Q868" s="78"/>
      <c r="R868" s="78"/>
      <c r="S868" s="78"/>
    </row>
    <row r="869" spans="17:19" x14ac:dyDescent="0.3">
      <c r="Q869" s="78"/>
      <c r="R869" s="78"/>
      <c r="S869" s="78"/>
    </row>
    <row r="870" spans="17:19" x14ac:dyDescent="0.3">
      <c r="Q870" s="78"/>
      <c r="R870" s="78"/>
      <c r="S870" s="78"/>
    </row>
    <row r="871" spans="17:19" x14ac:dyDescent="0.3">
      <c r="Q871" s="78"/>
      <c r="R871" s="78"/>
      <c r="S871" s="78"/>
    </row>
    <row r="872" spans="17:19" x14ac:dyDescent="0.3">
      <c r="Q872" s="78"/>
      <c r="R872" s="78"/>
      <c r="S872" s="78"/>
    </row>
    <row r="873" spans="17:19" x14ac:dyDescent="0.3">
      <c r="Q873" s="78"/>
      <c r="R873" s="78"/>
      <c r="S873" s="78"/>
    </row>
    <row r="874" spans="17:19" x14ac:dyDescent="0.3">
      <c r="Q874" s="78"/>
      <c r="R874" s="78"/>
      <c r="S874" s="78"/>
    </row>
    <row r="875" spans="17:19" x14ac:dyDescent="0.3">
      <c r="Q875" s="78"/>
      <c r="R875" s="78"/>
      <c r="S875" s="78"/>
    </row>
    <row r="876" spans="17:19" x14ac:dyDescent="0.3">
      <c r="Q876" s="78"/>
      <c r="R876" s="78"/>
      <c r="S876" s="78"/>
    </row>
    <row r="877" spans="17:19" x14ac:dyDescent="0.3">
      <c r="Q877" s="78"/>
      <c r="R877" s="78"/>
      <c r="S877" s="78"/>
    </row>
    <row r="878" spans="17:19" x14ac:dyDescent="0.3">
      <c r="Q878" s="78"/>
      <c r="R878" s="78"/>
      <c r="S878" s="78"/>
    </row>
    <row r="879" spans="17:19" x14ac:dyDescent="0.3">
      <c r="Q879" s="78"/>
      <c r="R879" s="78"/>
      <c r="S879" s="78"/>
    </row>
    <row r="880" spans="17:19" x14ac:dyDescent="0.3">
      <c r="Q880" s="78"/>
      <c r="R880" s="78"/>
      <c r="S880" s="78"/>
    </row>
    <row r="881" spans="17:19" x14ac:dyDescent="0.3">
      <c r="Q881" s="78"/>
      <c r="R881" s="78"/>
      <c r="S881" s="78"/>
    </row>
    <row r="882" spans="17:19" x14ac:dyDescent="0.3">
      <c r="Q882" s="78"/>
      <c r="R882" s="78"/>
      <c r="S882" s="78"/>
    </row>
    <row r="883" spans="17:19" x14ac:dyDescent="0.3">
      <c r="Q883" s="78"/>
      <c r="R883" s="78"/>
      <c r="S883" s="78"/>
    </row>
    <row r="884" spans="17:19" x14ac:dyDescent="0.3">
      <c r="Q884" s="78"/>
      <c r="R884" s="78"/>
      <c r="S884" s="78"/>
    </row>
    <row r="885" spans="17:19" x14ac:dyDescent="0.3">
      <c r="Q885" s="78"/>
      <c r="R885" s="78"/>
      <c r="S885" s="78"/>
    </row>
    <row r="886" spans="17:19" x14ac:dyDescent="0.3">
      <c r="Q886" s="78"/>
      <c r="R886" s="78"/>
      <c r="S886" s="78"/>
    </row>
    <row r="887" spans="17:19" x14ac:dyDescent="0.3">
      <c r="Q887" s="78"/>
      <c r="R887" s="78"/>
      <c r="S887" s="78"/>
    </row>
    <row r="888" spans="17:19" x14ac:dyDescent="0.3">
      <c r="Q888" s="78"/>
      <c r="R888" s="78"/>
      <c r="S888" s="78"/>
    </row>
    <row r="889" spans="17:19" x14ac:dyDescent="0.3">
      <c r="Q889" s="78"/>
      <c r="R889" s="78"/>
      <c r="S889" s="78"/>
    </row>
    <row r="890" spans="17:19" x14ac:dyDescent="0.3">
      <c r="Q890" s="78"/>
      <c r="R890" s="78"/>
      <c r="S890" s="78"/>
    </row>
    <row r="891" spans="17:19" x14ac:dyDescent="0.3">
      <c r="Q891" s="78"/>
      <c r="R891" s="78"/>
      <c r="S891" s="78"/>
    </row>
    <row r="892" spans="17:19" x14ac:dyDescent="0.3">
      <c r="Q892" s="78"/>
      <c r="R892" s="78"/>
      <c r="S892" s="78"/>
    </row>
    <row r="893" spans="17:19" x14ac:dyDescent="0.3">
      <c r="Q893" s="78"/>
      <c r="R893" s="78"/>
      <c r="S893" s="78"/>
    </row>
    <row r="894" spans="17:19" x14ac:dyDescent="0.3">
      <c r="Q894" s="78"/>
      <c r="R894" s="78"/>
      <c r="S894" s="78"/>
    </row>
    <row r="895" spans="17:19" x14ac:dyDescent="0.3">
      <c r="Q895" s="78"/>
      <c r="R895" s="78"/>
      <c r="S895" s="78"/>
    </row>
    <row r="896" spans="17:19" x14ac:dyDescent="0.3">
      <c r="Q896" s="78"/>
      <c r="R896" s="78"/>
      <c r="S896" s="78"/>
    </row>
    <row r="897" spans="17:19" x14ac:dyDescent="0.3">
      <c r="Q897" s="78"/>
      <c r="R897" s="78"/>
      <c r="S897" s="78"/>
    </row>
    <row r="898" spans="17:19" x14ac:dyDescent="0.3">
      <c r="Q898" s="78"/>
      <c r="R898" s="78"/>
      <c r="S898" s="78"/>
    </row>
    <row r="899" spans="17:19" x14ac:dyDescent="0.3">
      <c r="Q899" s="78"/>
      <c r="R899" s="78"/>
      <c r="S899" s="78"/>
    </row>
    <row r="900" spans="17:19" x14ac:dyDescent="0.3">
      <c r="Q900" s="78"/>
      <c r="R900" s="78"/>
      <c r="S900" s="78"/>
    </row>
    <row r="901" spans="17:19" x14ac:dyDescent="0.3">
      <c r="Q901" s="78"/>
      <c r="R901" s="78"/>
      <c r="S901" s="78"/>
    </row>
    <row r="902" spans="17:19" x14ac:dyDescent="0.3">
      <c r="Q902" s="78"/>
      <c r="R902" s="78"/>
      <c r="S902" s="78"/>
    </row>
    <row r="903" spans="17:19" x14ac:dyDescent="0.3">
      <c r="Q903" s="78"/>
      <c r="R903" s="78"/>
      <c r="S903" s="78"/>
    </row>
    <row r="904" spans="17:19" x14ac:dyDescent="0.3">
      <c r="Q904" s="78"/>
      <c r="R904" s="78"/>
      <c r="S904" s="78"/>
    </row>
    <row r="905" spans="17:19" x14ac:dyDescent="0.3">
      <c r="Q905" s="78"/>
      <c r="R905" s="78"/>
      <c r="S905" s="78"/>
    </row>
    <row r="906" spans="17:19" x14ac:dyDescent="0.3">
      <c r="Q906" s="78"/>
      <c r="R906" s="78"/>
      <c r="S906" s="78"/>
    </row>
    <row r="907" spans="17:19" x14ac:dyDescent="0.3">
      <c r="Q907" s="78"/>
      <c r="R907" s="78"/>
      <c r="S907" s="78"/>
    </row>
    <row r="908" spans="17:19" x14ac:dyDescent="0.3">
      <c r="Q908" s="78"/>
      <c r="R908" s="78"/>
      <c r="S908" s="78"/>
    </row>
    <row r="909" spans="17:19" x14ac:dyDescent="0.3">
      <c r="Q909" s="78"/>
      <c r="R909" s="78"/>
      <c r="S909" s="78"/>
    </row>
    <row r="910" spans="17:19" x14ac:dyDescent="0.3">
      <c r="Q910" s="78"/>
      <c r="R910" s="78"/>
      <c r="S910" s="78"/>
    </row>
    <row r="911" spans="17:19" x14ac:dyDescent="0.3">
      <c r="Q911" s="78"/>
      <c r="R911" s="78"/>
      <c r="S911" s="78"/>
    </row>
    <row r="912" spans="17:19" x14ac:dyDescent="0.3">
      <c r="Q912" s="78"/>
      <c r="R912" s="78"/>
      <c r="S912" s="78"/>
    </row>
    <row r="913" spans="17:19" x14ac:dyDescent="0.3">
      <c r="Q913" s="78"/>
      <c r="R913" s="78"/>
      <c r="S913" s="78"/>
    </row>
    <row r="914" spans="17:19" x14ac:dyDescent="0.3">
      <c r="Q914" s="78"/>
      <c r="R914" s="78"/>
      <c r="S914" s="78"/>
    </row>
    <row r="915" spans="17:19" x14ac:dyDescent="0.3">
      <c r="Q915" s="78"/>
      <c r="R915" s="78"/>
      <c r="S915" s="78"/>
    </row>
    <row r="916" spans="17:19" x14ac:dyDescent="0.3">
      <c r="Q916" s="78"/>
      <c r="R916" s="78"/>
      <c r="S916" s="78"/>
    </row>
    <row r="917" spans="17:19" x14ac:dyDescent="0.3">
      <c r="Q917" s="78"/>
      <c r="R917" s="78"/>
      <c r="S917" s="78"/>
    </row>
    <row r="918" spans="17:19" x14ac:dyDescent="0.3">
      <c r="Q918" s="78"/>
      <c r="R918" s="78"/>
      <c r="S918" s="78"/>
    </row>
    <row r="919" spans="17:19" x14ac:dyDescent="0.3">
      <c r="Q919" s="78"/>
      <c r="R919" s="78"/>
      <c r="S919" s="78"/>
    </row>
    <row r="920" spans="17:19" x14ac:dyDescent="0.3">
      <c r="Q920" s="78"/>
      <c r="R920" s="78"/>
      <c r="S920" s="78"/>
    </row>
    <row r="921" spans="17:19" x14ac:dyDescent="0.3">
      <c r="Q921" s="78"/>
      <c r="R921" s="78"/>
      <c r="S921" s="78"/>
    </row>
    <row r="922" spans="17:19" x14ac:dyDescent="0.3">
      <c r="Q922" s="78"/>
      <c r="R922" s="78"/>
      <c r="S922" s="78"/>
    </row>
    <row r="923" spans="17:19" x14ac:dyDescent="0.3">
      <c r="Q923" s="78"/>
      <c r="R923" s="78"/>
      <c r="S923" s="78"/>
    </row>
    <row r="924" spans="17:19" x14ac:dyDescent="0.3">
      <c r="Q924" s="78"/>
      <c r="R924" s="78"/>
      <c r="S924" s="78"/>
    </row>
    <row r="925" spans="17:19" x14ac:dyDescent="0.3">
      <c r="Q925" s="78"/>
      <c r="R925" s="78"/>
      <c r="S925" s="78"/>
    </row>
    <row r="926" spans="17:19" x14ac:dyDescent="0.3">
      <c r="Q926" s="78"/>
      <c r="R926" s="78"/>
      <c r="S926" s="78"/>
    </row>
    <row r="927" spans="17:19" x14ac:dyDescent="0.3">
      <c r="Q927" s="78"/>
      <c r="R927" s="78"/>
      <c r="S927" s="78"/>
    </row>
    <row r="928" spans="17:19" x14ac:dyDescent="0.3">
      <c r="Q928" s="78"/>
      <c r="R928" s="78"/>
      <c r="S928" s="78"/>
    </row>
    <row r="929" spans="17:19" x14ac:dyDescent="0.3">
      <c r="Q929" s="78"/>
      <c r="R929" s="78"/>
      <c r="S929" s="78"/>
    </row>
    <row r="930" spans="17:19" x14ac:dyDescent="0.3">
      <c r="Q930" s="78"/>
      <c r="R930" s="78"/>
      <c r="S930" s="78"/>
    </row>
    <row r="931" spans="17:19" x14ac:dyDescent="0.3">
      <c r="Q931" s="78"/>
      <c r="R931" s="78"/>
      <c r="S931" s="78"/>
    </row>
    <row r="932" spans="17:19" x14ac:dyDescent="0.3">
      <c r="Q932" s="78"/>
      <c r="R932" s="78"/>
      <c r="S932" s="78"/>
    </row>
    <row r="933" spans="17:19" x14ac:dyDescent="0.3">
      <c r="Q933" s="78"/>
      <c r="R933" s="78"/>
      <c r="S933" s="78"/>
    </row>
    <row r="934" spans="17:19" x14ac:dyDescent="0.3">
      <c r="Q934" s="78"/>
      <c r="R934" s="78"/>
      <c r="S934" s="78"/>
    </row>
    <row r="935" spans="17:19" x14ac:dyDescent="0.3">
      <c r="Q935" s="78"/>
      <c r="R935" s="78"/>
      <c r="S935" s="78"/>
    </row>
    <row r="936" spans="17:19" x14ac:dyDescent="0.3">
      <c r="Q936" s="78"/>
      <c r="R936" s="78"/>
      <c r="S936" s="78"/>
    </row>
    <row r="937" spans="17:19" x14ac:dyDescent="0.3">
      <c r="Q937" s="78"/>
      <c r="R937" s="78"/>
      <c r="S937" s="78"/>
    </row>
    <row r="938" spans="17:19" x14ac:dyDescent="0.3">
      <c r="Q938" s="78"/>
      <c r="R938" s="78"/>
      <c r="S938" s="78"/>
    </row>
    <row r="939" spans="17:19" x14ac:dyDescent="0.3">
      <c r="Q939" s="78"/>
      <c r="R939" s="78"/>
      <c r="S939" s="78"/>
    </row>
    <row r="940" spans="17:19" x14ac:dyDescent="0.3">
      <c r="Q940" s="78"/>
      <c r="R940" s="78"/>
      <c r="S940" s="78"/>
    </row>
    <row r="941" spans="17:19" x14ac:dyDescent="0.3">
      <c r="Q941" s="78"/>
      <c r="R941" s="78"/>
      <c r="S941" s="78"/>
    </row>
    <row r="942" spans="17:19" x14ac:dyDescent="0.3">
      <c r="Q942" s="78"/>
      <c r="R942" s="78"/>
      <c r="S942" s="78"/>
    </row>
    <row r="943" spans="17:19" x14ac:dyDescent="0.3">
      <c r="Q943" s="78"/>
      <c r="R943" s="78"/>
      <c r="S943" s="78"/>
    </row>
    <row r="944" spans="17:19" x14ac:dyDescent="0.3">
      <c r="Q944" s="78"/>
      <c r="R944" s="78"/>
      <c r="S944" s="78"/>
    </row>
    <row r="945" spans="17:19" x14ac:dyDescent="0.3">
      <c r="Q945" s="78"/>
      <c r="R945" s="78"/>
      <c r="S945" s="78"/>
    </row>
    <row r="946" spans="17:19" x14ac:dyDescent="0.3">
      <c r="Q946" s="78"/>
      <c r="R946" s="78"/>
      <c r="S946" s="78"/>
    </row>
    <row r="947" spans="17:19" x14ac:dyDescent="0.3">
      <c r="Q947" s="78"/>
      <c r="R947" s="78"/>
      <c r="S947" s="78"/>
    </row>
    <row r="948" spans="17:19" x14ac:dyDescent="0.3">
      <c r="Q948" s="78"/>
      <c r="R948" s="78"/>
      <c r="S948" s="78"/>
    </row>
    <row r="949" spans="17:19" x14ac:dyDescent="0.3">
      <c r="Q949" s="78"/>
      <c r="R949" s="78"/>
      <c r="S949" s="78"/>
    </row>
    <row r="950" spans="17:19" x14ac:dyDescent="0.3">
      <c r="Q950" s="78"/>
      <c r="R950" s="78"/>
      <c r="S950" s="78"/>
    </row>
    <row r="951" spans="17:19" x14ac:dyDescent="0.3">
      <c r="Q951" s="78"/>
      <c r="R951" s="78"/>
      <c r="S951" s="78"/>
    </row>
    <row r="952" spans="17:19" x14ac:dyDescent="0.3">
      <c r="Q952" s="78"/>
      <c r="R952" s="78"/>
      <c r="S952" s="78"/>
    </row>
    <row r="953" spans="17:19" x14ac:dyDescent="0.3">
      <c r="Q953" s="78"/>
      <c r="R953" s="78"/>
      <c r="S953" s="78"/>
    </row>
    <row r="954" spans="17:19" x14ac:dyDescent="0.3">
      <c r="Q954" s="78"/>
      <c r="R954" s="78"/>
      <c r="S954" s="78"/>
    </row>
    <row r="955" spans="17:19" x14ac:dyDescent="0.3">
      <c r="Q955" s="78"/>
      <c r="R955" s="78"/>
      <c r="S955" s="78"/>
    </row>
    <row r="956" spans="17:19" x14ac:dyDescent="0.3">
      <c r="Q956" s="78"/>
      <c r="R956" s="78"/>
      <c r="S956" s="78"/>
    </row>
    <row r="957" spans="17:19" x14ac:dyDescent="0.3">
      <c r="Q957" s="78"/>
      <c r="R957" s="78"/>
      <c r="S957" s="78"/>
    </row>
    <row r="958" spans="17:19" x14ac:dyDescent="0.3">
      <c r="Q958" s="78"/>
      <c r="R958" s="78"/>
      <c r="S958" s="78"/>
    </row>
    <row r="959" spans="17:19" x14ac:dyDescent="0.3">
      <c r="Q959" s="78"/>
      <c r="R959" s="78"/>
      <c r="S959" s="78"/>
    </row>
    <row r="960" spans="17:19" x14ac:dyDescent="0.3">
      <c r="Q960" s="78"/>
      <c r="R960" s="78"/>
      <c r="S960" s="78"/>
    </row>
    <row r="961" spans="17:19" x14ac:dyDescent="0.3">
      <c r="Q961" s="78"/>
      <c r="R961" s="78"/>
      <c r="S961" s="78"/>
    </row>
    <row r="962" spans="17:19" x14ac:dyDescent="0.3">
      <c r="Q962" s="78"/>
      <c r="R962" s="78"/>
      <c r="S962" s="78"/>
    </row>
    <row r="963" spans="17:19" x14ac:dyDescent="0.3">
      <c r="Q963" s="78"/>
      <c r="R963" s="78"/>
      <c r="S963" s="78"/>
    </row>
    <row r="964" spans="17:19" x14ac:dyDescent="0.3">
      <c r="Q964" s="78"/>
      <c r="R964" s="78"/>
      <c r="S964" s="78"/>
    </row>
    <row r="965" spans="17:19" x14ac:dyDescent="0.3">
      <c r="Q965" s="78"/>
      <c r="R965" s="78"/>
      <c r="S965" s="78"/>
    </row>
    <row r="966" spans="17:19" x14ac:dyDescent="0.3">
      <c r="Q966" s="78"/>
      <c r="R966" s="78"/>
      <c r="S966" s="78"/>
    </row>
    <row r="967" spans="17:19" x14ac:dyDescent="0.3">
      <c r="Q967" s="78"/>
      <c r="R967" s="78"/>
      <c r="S967" s="78"/>
    </row>
    <row r="968" spans="17:19" x14ac:dyDescent="0.3">
      <c r="Q968" s="78"/>
      <c r="R968" s="78"/>
      <c r="S968" s="78"/>
    </row>
    <row r="969" spans="17:19" x14ac:dyDescent="0.3">
      <c r="Q969" s="78"/>
      <c r="R969" s="78"/>
      <c r="S969" s="78"/>
    </row>
    <row r="970" spans="17:19" x14ac:dyDescent="0.3">
      <c r="Q970" s="78"/>
      <c r="R970" s="78"/>
      <c r="S970" s="78"/>
    </row>
    <row r="971" spans="17:19" x14ac:dyDescent="0.3">
      <c r="Q971" s="78"/>
      <c r="R971" s="78"/>
      <c r="S971" s="78"/>
    </row>
    <row r="972" spans="17:19" x14ac:dyDescent="0.3">
      <c r="Q972" s="78"/>
      <c r="R972" s="78"/>
      <c r="S972" s="78"/>
    </row>
    <row r="973" spans="17:19" x14ac:dyDescent="0.3">
      <c r="Q973" s="78"/>
      <c r="R973" s="78"/>
      <c r="S973" s="78"/>
    </row>
    <row r="974" spans="17:19" x14ac:dyDescent="0.3">
      <c r="Q974" s="78"/>
      <c r="R974" s="78"/>
      <c r="S974" s="78"/>
    </row>
    <row r="975" spans="17:19" x14ac:dyDescent="0.3">
      <c r="Q975" s="78"/>
      <c r="R975" s="78"/>
      <c r="S975" s="78"/>
    </row>
    <row r="976" spans="17:19" x14ac:dyDescent="0.3">
      <c r="Q976" s="78"/>
      <c r="R976" s="78"/>
      <c r="S976" s="78"/>
    </row>
    <row r="977" spans="17:19" x14ac:dyDescent="0.3">
      <c r="Q977" s="78"/>
      <c r="R977" s="78"/>
      <c r="S977" s="78"/>
    </row>
    <row r="978" spans="17:19" x14ac:dyDescent="0.3">
      <c r="Q978" s="78"/>
      <c r="R978" s="78"/>
      <c r="S978" s="78"/>
    </row>
    <row r="979" spans="17:19" x14ac:dyDescent="0.3">
      <c r="Q979" s="78"/>
      <c r="R979" s="78"/>
      <c r="S979" s="78"/>
    </row>
    <row r="980" spans="17:19" x14ac:dyDescent="0.3">
      <c r="Q980" s="78"/>
      <c r="R980" s="78"/>
      <c r="S980" s="78"/>
    </row>
    <row r="981" spans="17:19" x14ac:dyDescent="0.3">
      <c r="Q981" s="78"/>
      <c r="R981" s="78"/>
      <c r="S981" s="78"/>
    </row>
    <row r="982" spans="17:19" x14ac:dyDescent="0.3">
      <c r="Q982" s="78"/>
      <c r="R982" s="78"/>
      <c r="S982" s="78"/>
    </row>
    <row r="983" spans="17:19" x14ac:dyDescent="0.3">
      <c r="Q983" s="78"/>
      <c r="R983" s="78"/>
      <c r="S983" s="78"/>
    </row>
    <row r="984" spans="17:19" x14ac:dyDescent="0.3">
      <c r="Q984" s="78"/>
      <c r="R984" s="78"/>
      <c r="S984" s="78"/>
    </row>
    <row r="985" spans="17:19" x14ac:dyDescent="0.3">
      <c r="Q985" s="78"/>
      <c r="R985" s="78"/>
      <c r="S985" s="78"/>
    </row>
    <row r="986" spans="17:19" x14ac:dyDescent="0.3">
      <c r="Q986" s="78"/>
      <c r="R986" s="78"/>
      <c r="S986" s="78"/>
    </row>
    <row r="987" spans="17:19" x14ac:dyDescent="0.3">
      <c r="Q987" s="78"/>
      <c r="R987" s="78"/>
      <c r="S987" s="78"/>
    </row>
    <row r="988" spans="17:19" x14ac:dyDescent="0.3">
      <c r="Q988" s="78"/>
      <c r="R988" s="78"/>
      <c r="S988" s="78"/>
    </row>
    <row r="989" spans="17:19" x14ac:dyDescent="0.3">
      <c r="Q989" s="78"/>
      <c r="R989" s="78"/>
      <c r="S989" s="78"/>
    </row>
    <row r="990" spans="17:19" x14ac:dyDescent="0.3">
      <c r="Q990" s="78"/>
      <c r="R990" s="78"/>
      <c r="S990" s="78"/>
    </row>
    <row r="991" spans="17:19" x14ac:dyDescent="0.3">
      <c r="Q991" s="78"/>
      <c r="R991" s="78"/>
      <c r="S991" s="78"/>
    </row>
    <row r="992" spans="17:19" x14ac:dyDescent="0.3">
      <c r="Q992" s="78"/>
      <c r="R992" s="78"/>
      <c r="S992" s="78"/>
    </row>
    <row r="993" spans="17:19" x14ac:dyDescent="0.3">
      <c r="Q993" s="78"/>
      <c r="R993" s="78"/>
      <c r="S993" s="78"/>
    </row>
    <row r="994" spans="17:19" x14ac:dyDescent="0.3">
      <c r="Q994" s="78"/>
      <c r="R994" s="78"/>
      <c r="S994" s="78"/>
    </row>
    <row r="995" spans="17:19" x14ac:dyDescent="0.3">
      <c r="Q995" s="78"/>
      <c r="R995" s="78"/>
      <c r="S995" s="78"/>
    </row>
    <row r="996" spans="17:19" x14ac:dyDescent="0.3">
      <c r="Q996" s="78"/>
      <c r="R996" s="78"/>
      <c r="S996" s="78"/>
    </row>
    <row r="997" spans="17:19" x14ac:dyDescent="0.3">
      <c r="Q997" s="78"/>
      <c r="R997" s="78"/>
      <c r="S997" s="78"/>
    </row>
    <row r="998" spans="17:19" x14ac:dyDescent="0.3">
      <c r="Q998" s="78"/>
      <c r="R998" s="78"/>
      <c r="S998" s="78"/>
    </row>
    <row r="999" spans="17:19" x14ac:dyDescent="0.3">
      <c r="Q999" s="78"/>
      <c r="R999" s="78"/>
      <c r="S999" s="78"/>
    </row>
    <row r="1000" spans="17:19" x14ac:dyDescent="0.3">
      <c r="Q1000" s="78"/>
      <c r="R1000" s="78"/>
      <c r="S1000" s="78"/>
    </row>
    <row r="1001" spans="17:19" x14ac:dyDescent="0.3">
      <c r="Q1001" s="78"/>
      <c r="R1001" s="78"/>
      <c r="S1001" s="78"/>
    </row>
    <row r="1002" spans="17:19" x14ac:dyDescent="0.3">
      <c r="Q1002" s="78"/>
      <c r="R1002" s="78"/>
      <c r="S1002" s="78"/>
    </row>
    <row r="1003" spans="17:19" x14ac:dyDescent="0.3">
      <c r="Q1003" s="78"/>
      <c r="R1003" s="78"/>
      <c r="S1003" s="78"/>
    </row>
    <row r="1004" spans="17:19" x14ac:dyDescent="0.3">
      <c r="Q1004" s="78"/>
      <c r="R1004" s="78"/>
      <c r="S1004" s="78"/>
    </row>
    <row r="1005" spans="17:19" x14ac:dyDescent="0.3">
      <c r="Q1005" s="78"/>
      <c r="R1005" s="78"/>
      <c r="S1005" s="78"/>
    </row>
    <row r="1006" spans="17:19" x14ac:dyDescent="0.3">
      <c r="Q1006" s="78"/>
      <c r="R1006" s="78"/>
      <c r="S1006" s="78"/>
    </row>
    <row r="1007" spans="17:19" x14ac:dyDescent="0.3">
      <c r="Q1007" s="78"/>
      <c r="R1007" s="78"/>
      <c r="S1007" s="78"/>
    </row>
    <row r="1008" spans="17:19" x14ac:dyDescent="0.3">
      <c r="Q1008" s="78"/>
      <c r="R1008" s="78"/>
      <c r="S1008" s="78"/>
    </row>
    <row r="1009" spans="17:19" x14ac:dyDescent="0.3">
      <c r="Q1009" s="78"/>
      <c r="R1009" s="78"/>
      <c r="S1009" s="78"/>
    </row>
    <row r="1010" spans="17:19" x14ac:dyDescent="0.3">
      <c r="Q1010" s="78"/>
      <c r="R1010" s="78"/>
      <c r="S1010" s="78"/>
    </row>
    <row r="1011" spans="17:19" x14ac:dyDescent="0.3">
      <c r="Q1011" s="78"/>
      <c r="R1011" s="78"/>
      <c r="S1011" s="78"/>
    </row>
    <row r="1012" spans="17:19" x14ac:dyDescent="0.3">
      <c r="Q1012" s="78"/>
      <c r="R1012" s="78"/>
      <c r="S1012" s="78"/>
    </row>
    <row r="1013" spans="17:19" x14ac:dyDescent="0.3">
      <c r="Q1013" s="78"/>
      <c r="R1013" s="78"/>
      <c r="S1013" s="78"/>
    </row>
    <row r="1014" spans="17:19" x14ac:dyDescent="0.3">
      <c r="Q1014" s="78"/>
      <c r="R1014" s="78"/>
      <c r="S1014" s="78"/>
    </row>
    <row r="1015" spans="17:19" x14ac:dyDescent="0.3">
      <c r="Q1015" s="78"/>
      <c r="R1015" s="78"/>
      <c r="S1015" s="78"/>
    </row>
    <row r="1016" spans="17:19" x14ac:dyDescent="0.3">
      <c r="Q1016" s="78"/>
      <c r="R1016" s="78"/>
      <c r="S1016" s="78"/>
    </row>
    <row r="1017" spans="17:19" x14ac:dyDescent="0.3">
      <c r="Q1017" s="78"/>
      <c r="R1017" s="78"/>
      <c r="S1017" s="78"/>
    </row>
    <row r="1018" spans="17:19" x14ac:dyDescent="0.3">
      <c r="Q1018" s="78"/>
      <c r="R1018" s="78"/>
      <c r="S1018" s="78"/>
    </row>
    <row r="1019" spans="17:19" x14ac:dyDescent="0.3">
      <c r="Q1019" s="78"/>
      <c r="R1019" s="78"/>
      <c r="S1019" s="78"/>
    </row>
    <row r="1020" spans="17:19" x14ac:dyDescent="0.3">
      <c r="Q1020" s="78"/>
      <c r="R1020" s="78"/>
      <c r="S1020" s="78"/>
    </row>
    <row r="1021" spans="17:19" x14ac:dyDescent="0.3">
      <c r="Q1021" s="78"/>
      <c r="R1021" s="78"/>
      <c r="S1021" s="78"/>
    </row>
    <row r="1022" spans="17:19" x14ac:dyDescent="0.3">
      <c r="Q1022" s="78"/>
      <c r="R1022" s="78"/>
      <c r="S1022" s="78"/>
    </row>
    <row r="1023" spans="17:19" x14ac:dyDescent="0.3">
      <c r="Q1023" s="78"/>
      <c r="R1023" s="78"/>
      <c r="S1023" s="78"/>
    </row>
    <row r="1024" spans="17:19" x14ac:dyDescent="0.3">
      <c r="Q1024" s="78"/>
      <c r="R1024" s="78"/>
      <c r="S1024" s="78"/>
    </row>
    <row r="1025" spans="17:19" x14ac:dyDescent="0.3">
      <c r="Q1025" s="78"/>
      <c r="R1025" s="78"/>
      <c r="S1025" s="78"/>
    </row>
    <row r="1026" spans="17:19" x14ac:dyDescent="0.3">
      <c r="Q1026" s="78"/>
      <c r="R1026" s="78"/>
      <c r="S1026" s="78"/>
    </row>
    <row r="1027" spans="17:19" x14ac:dyDescent="0.3">
      <c r="Q1027" s="78"/>
      <c r="R1027" s="78"/>
      <c r="S1027" s="78"/>
    </row>
    <row r="1028" spans="17:19" x14ac:dyDescent="0.3">
      <c r="Q1028" s="78"/>
      <c r="R1028" s="78"/>
      <c r="S1028" s="78"/>
    </row>
    <row r="1029" spans="17:19" x14ac:dyDescent="0.3">
      <c r="Q1029" s="78"/>
      <c r="R1029" s="78"/>
      <c r="S1029" s="78"/>
    </row>
    <row r="1030" spans="17:19" x14ac:dyDescent="0.3">
      <c r="Q1030" s="78"/>
      <c r="R1030" s="78"/>
      <c r="S1030" s="78"/>
    </row>
    <row r="1031" spans="17:19" x14ac:dyDescent="0.3">
      <c r="Q1031" s="78"/>
      <c r="R1031" s="78"/>
      <c r="S1031" s="78"/>
    </row>
    <row r="1032" spans="17:19" x14ac:dyDescent="0.3">
      <c r="Q1032" s="78"/>
      <c r="R1032" s="78"/>
      <c r="S1032" s="78"/>
    </row>
    <row r="1033" spans="17:19" x14ac:dyDescent="0.3">
      <c r="Q1033" s="78"/>
      <c r="R1033" s="78"/>
      <c r="S1033" s="78"/>
    </row>
    <row r="1034" spans="17:19" x14ac:dyDescent="0.3">
      <c r="Q1034" s="78"/>
      <c r="R1034" s="78"/>
      <c r="S1034" s="78"/>
    </row>
    <row r="1035" spans="17:19" x14ac:dyDescent="0.3">
      <c r="Q1035" s="78"/>
      <c r="R1035" s="78"/>
      <c r="S1035" s="78"/>
    </row>
    <row r="1036" spans="17:19" x14ac:dyDescent="0.3">
      <c r="Q1036" s="78"/>
      <c r="R1036" s="78"/>
      <c r="S1036" s="78"/>
    </row>
    <row r="1037" spans="17:19" x14ac:dyDescent="0.3">
      <c r="Q1037" s="78"/>
      <c r="R1037" s="78"/>
      <c r="S1037" s="78"/>
    </row>
    <row r="1038" spans="17:19" x14ac:dyDescent="0.3">
      <c r="Q1038" s="78"/>
      <c r="R1038" s="78"/>
      <c r="S1038" s="78"/>
    </row>
    <row r="1039" spans="17:19" x14ac:dyDescent="0.3">
      <c r="Q1039" s="78"/>
      <c r="R1039" s="78"/>
      <c r="S1039" s="78"/>
    </row>
    <row r="1040" spans="17:19" x14ac:dyDescent="0.3">
      <c r="Q1040" s="78"/>
      <c r="R1040" s="78"/>
      <c r="S1040" s="78"/>
    </row>
    <row r="1041" spans="17:19" x14ac:dyDescent="0.3">
      <c r="Q1041" s="78"/>
      <c r="R1041" s="78"/>
      <c r="S1041" s="78"/>
    </row>
    <row r="1042" spans="17:19" x14ac:dyDescent="0.3">
      <c r="Q1042" s="78"/>
      <c r="R1042" s="78"/>
      <c r="S1042" s="78"/>
    </row>
    <row r="1043" spans="17:19" x14ac:dyDescent="0.3">
      <c r="Q1043" s="78"/>
      <c r="R1043" s="78"/>
      <c r="S1043" s="78"/>
    </row>
    <row r="1044" spans="17:19" x14ac:dyDescent="0.3">
      <c r="Q1044" s="78"/>
      <c r="R1044" s="78"/>
      <c r="S1044" s="78"/>
    </row>
    <row r="1045" spans="17:19" x14ac:dyDescent="0.3">
      <c r="Q1045" s="78"/>
      <c r="R1045" s="78"/>
      <c r="S1045" s="78"/>
    </row>
    <row r="1046" spans="17:19" x14ac:dyDescent="0.3">
      <c r="Q1046" s="78"/>
      <c r="R1046" s="78"/>
      <c r="S1046" s="78"/>
    </row>
    <row r="1047" spans="17:19" x14ac:dyDescent="0.3">
      <c r="Q1047" s="78"/>
      <c r="R1047" s="78"/>
      <c r="S1047" s="78"/>
    </row>
    <row r="1048" spans="17:19" x14ac:dyDescent="0.3">
      <c r="Q1048" s="78"/>
      <c r="R1048" s="78"/>
      <c r="S1048" s="78"/>
    </row>
    <row r="1049" spans="17:19" x14ac:dyDescent="0.3">
      <c r="Q1049" s="78"/>
      <c r="R1049" s="78"/>
      <c r="S1049" s="78"/>
    </row>
    <row r="1050" spans="17:19" x14ac:dyDescent="0.3">
      <c r="Q1050" s="78"/>
      <c r="R1050" s="78"/>
      <c r="S1050" s="78"/>
    </row>
    <row r="1051" spans="17:19" x14ac:dyDescent="0.3">
      <c r="Q1051" s="78"/>
      <c r="R1051" s="78"/>
      <c r="S1051" s="78"/>
    </row>
    <row r="1052" spans="17:19" x14ac:dyDescent="0.3">
      <c r="Q1052" s="78"/>
      <c r="R1052" s="78"/>
      <c r="S1052" s="78"/>
    </row>
    <row r="1053" spans="17:19" x14ac:dyDescent="0.3">
      <c r="Q1053" s="78"/>
      <c r="R1053" s="78"/>
      <c r="S1053" s="78"/>
    </row>
    <row r="1054" spans="17:19" x14ac:dyDescent="0.3">
      <c r="Q1054" s="78"/>
      <c r="R1054" s="78"/>
      <c r="S1054" s="78"/>
    </row>
    <row r="1055" spans="17:19" x14ac:dyDescent="0.3">
      <c r="Q1055" s="78"/>
      <c r="R1055" s="78"/>
      <c r="S1055" s="78"/>
    </row>
    <row r="1056" spans="17:19" x14ac:dyDescent="0.3">
      <c r="Q1056" s="78"/>
      <c r="R1056" s="78"/>
      <c r="S1056" s="78"/>
    </row>
    <row r="1057" spans="17:19" x14ac:dyDescent="0.3">
      <c r="Q1057" s="78"/>
      <c r="R1057" s="78"/>
      <c r="S1057" s="78"/>
    </row>
    <row r="1058" spans="17:19" x14ac:dyDescent="0.3">
      <c r="Q1058" s="78"/>
      <c r="R1058" s="78"/>
      <c r="S1058" s="78"/>
    </row>
    <row r="1059" spans="17:19" x14ac:dyDescent="0.3">
      <c r="Q1059" s="78"/>
      <c r="R1059" s="78"/>
      <c r="S1059" s="78"/>
    </row>
    <row r="1060" spans="17:19" x14ac:dyDescent="0.3">
      <c r="Q1060" s="78"/>
      <c r="R1060" s="78"/>
      <c r="S1060" s="78"/>
    </row>
    <row r="1061" spans="17:19" x14ac:dyDescent="0.3">
      <c r="Q1061" s="78"/>
      <c r="R1061" s="78"/>
      <c r="S1061" s="78"/>
    </row>
    <row r="1062" spans="17:19" x14ac:dyDescent="0.3">
      <c r="Q1062" s="78"/>
      <c r="R1062" s="78"/>
      <c r="S1062" s="78"/>
    </row>
    <row r="1063" spans="17:19" x14ac:dyDescent="0.3">
      <c r="Q1063" s="78"/>
      <c r="R1063" s="78"/>
      <c r="S1063" s="78"/>
    </row>
    <row r="1064" spans="17:19" x14ac:dyDescent="0.3">
      <c r="Q1064" s="78"/>
      <c r="R1064" s="78"/>
      <c r="S1064" s="78"/>
    </row>
    <row r="1065" spans="17:19" x14ac:dyDescent="0.3">
      <c r="Q1065" s="78"/>
      <c r="R1065" s="78"/>
      <c r="S1065" s="78"/>
    </row>
    <row r="1066" spans="17:19" x14ac:dyDescent="0.3">
      <c r="Q1066" s="78"/>
      <c r="R1066" s="78"/>
      <c r="S1066" s="78"/>
    </row>
    <row r="1067" spans="17:19" x14ac:dyDescent="0.3">
      <c r="Q1067" s="78"/>
      <c r="R1067" s="78"/>
      <c r="S1067" s="78"/>
    </row>
    <row r="1068" spans="17:19" x14ac:dyDescent="0.3">
      <c r="Q1068" s="78"/>
      <c r="R1068" s="78"/>
      <c r="S1068" s="78"/>
    </row>
    <row r="1069" spans="17:19" x14ac:dyDescent="0.3">
      <c r="Q1069" s="78"/>
      <c r="R1069" s="78"/>
      <c r="S1069" s="78"/>
    </row>
    <row r="1070" spans="17:19" x14ac:dyDescent="0.3">
      <c r="Q1070" s="78"/>
      <c r="R1070" s="78"/>
      <c r="S1070" s="78"/>
    </row>
    <row r="1071" spans="17:19" x14ac:dyDescent="0.3">
      <c r="Q1071" s="78"/>
      <c r="R1071" s="78"/>
      <c r="S1071" s="78"/>
    </row>
    <row r="1072" spans="17:19" x14ac:dyDescent="0.3">
      <c r="Q1072" s="78"/>
      <c r="R1072" s="78"/>
      <c r="S1072" s="78"/>
    </row>
    <row r="1073" spans="17:19" x14ac:dyDescent="0.3">
      <c r="Q1073" s="78"/>
      <c r="R1073" s="78"/>
      <c r="S1073" s="78"/>
    </row>
    <row r="1074" spans="17:19" x14ac:dyDescent="0.3">
      <c r="Q1074" s="78"/>
      <c r="R1074" s="78"/>
      <c r="S1074" s="78"/>
    </row>
    <row r="1075" spans="17:19" x14ac:dyDescent="0.3">
      <c r="Q1075" s="78"/>
      <c r="R1075" s="78"/>
      <c r="S1075" s="78"/>
    </row>
    <row r="1076" spans="17:19" x14ac:dyDescent="0.3">
      <c r="Q1076" s="78"/>
      <c r="R1076" s="78"/>
      <c r="S1076" s="78"/>
    </row>
    <row r="1077" spans="17:19" x14ac:dyDescent="0.3">
      <c r="Q1077" s="78"/>
      <c r="R1077" s="78"/>
      <c r="S1077" s="78"/>
    </row>
    <row r="1078" spans="17:19" x14ac:dyDescent="0.3">
      <c r="Q1078" s="78"/>
      <c r="R1078" s="78"/>
      <c r="S1078" s="78"/>
    </row>
    <row r="1079" spans="17:19" x14ac:dyDescent="0.3">
      <c r="Q1079" s="78"/>
      <c r="R1079" s="78"/>
      <c r="S1079" s="78"/>
    </row>
    <row r="1080" spans="17:19" x14ac:dyDescent="0.3">
      <c r="Q1080" s="78"/>
      <c r="R1080" s="78"/>
      <c r="S1080" s="78"/>
    </row>
    <row r="1081" spans="17:19" x14ac:dyDescent="0.3">
      <c r="Q1081" s="78"/>
      <c r="R1081" s="78"/>
      <c r="S1081" s="78"/>
    </row>
    <row r="1082" spans="17:19" x14ac:dyDescent="0.3">
      <c r="Q1082" s="78"/>
      <c r="R1082" s="78"/>
      <c r="S1082" s="78"/>
    </row>
    <row r="1083" spans="17:19" x14ac:dyDescent="0.3">
      <c r="Q1083" s="78"/>
      <c r="R1083" s="78"/>
      <c r="S1083" s="78"/>
    </row>
    <row r="1084" spans="17:19" x14ac:dyDescent="0.3">
      <c r="Q1084" s="78"/>
      <c r="R1084" s="78"/>
      <c r="S1084" s="78"/>
    </row>
    <row r="1085" spans="17:19" x14ac:dyDescent="0.3">
      <c r="Q1085" s="78"/>
      <c r="R1085" s="78"/>
      <c r="S1085" s="78"/>
    </row>
    <row r="1086" spans="17:19" x14ac:dyDescent="0.3">
      <c r="Q1086" s="78"/>
      <c r="R1086" s="78"/>
      <c r="S1086" s="78"/>
    </row>
    <row r="1087" spans="17:19" x14ac:dyDescent="0.3">
      <c r="Q1087" s="78"/>
      <c r="R1087" s="78"/>
      <c r="S1087" s="78"/>
    </row>
    <row r="1088" spans="17:19" x14ac:dyDescent="0.3">
      <c r="Q1088" s="78"/>
      <c r="R1088" s="78"/>
      <c r="S1088" s="78"/>
    </row>
    <row r="1089" spans="17:19" x14ac:dyDescent="0.3">
      <c r="Q1089" s="78"/>
      <c r="R1089" s="78"/>
      <c r="S1089" s="78"/>
    </row>
    <row r="1090" spans="17:19" x14ac:dyDescent="0.3">
      <c r="Q1090" s="78"/>
      <c r="R1090" s="78"/>
      <c r="S1090" s="78"/>
    </row>
    <row r="1091" spans="17:19" x14ac:dyDescent="0.3">
      <c r="Q1091" s="78"/>
      <c r="R1091" s="78"/>
      <c r="S1091" s="78"/>
    </row>
    <row r="1092" spans="17:19" x14ac:dyDescent="0.3">
      <c r="Q1092" s="78"/>
      <c r="R1092" s="78"/>
      <c r="S1092" s="78"/>
    </row>
    <row r="1093" spans="17:19" x14ac:dyDescent="0.3">
      <c r="Q1093" s="78"/>
      <c r="R1093" s="78"/>
      <c r="S1093" s="78"/>
    </row>
    <row r="1094" spans="17:19" x14ac:dyDescent="0.3">
      <c r="Q1094" s="78"/>
      <c r="R1094" s="78"/>
      <c r="S1094" s="78"/>
    </row>
    <row r="1095" spans="17:19" x14ac:dyDescent="0.3">
      <c r="Q1095" s="78"/>
      <c r="R1095" s="78"/>
      <c r="S1095" s="78"/>
    </row>
    <row r="1096" spans="17:19" x14ac:dyDescent="0.3">
      <c r="Q1096" s="78"/>
      <c r="R1096" s="78"/>
      <c r="S1096" s="78"/>
    </row>
    <row r="1097" spans="17:19" x14ac:dyDescent="0.3">
      <c r="Q1097" s="78"/>
      <c r="R1097" s="78"/>
      <c r="S1097" s="78"/>
    </row>
    <row r="1098" spans="17:19" x14ac:dyDescent="0.3">
      <c r="Q1098" s="78"/>
      <c r="R1098" s="78"/>
      <c r="S1098" s="78"/>
    </row>
    <row r="1099" spans="17:19" x14ac:dyDescent="0.3">
      <c r="Q1099" s="78"/>
      <c r="R1099" s="78"/>
      <c r="S1099" s="78"/>
    </row>
    <row r="1100" spans="17:19" x14ac:dyDescent="0.3">
      <c r="Q1100" s="78"/>
      <c r="R1100" s="78"/>
      <c r="S1100" s="78"/>
    </row>
    <row r="1101" spans="17:19" x14ac:dyDescent="0.3">
      <c r="Q1101" s="78"/>
      <c r="R1101" s="78"/>
      <c r="S1101" s="78"/>
    </row>
    <row r="1102" spans="17:19" x14ac:dyDescent="0.3">
      <c r="Q1102" s="78"/>
      <c r="R1102" s="78"/>
      <c r="S1102" s="78"/>
    </row>
    <row r="1103" spans="17:19" x14ac:dyDescent="0.3">
      <c r="Q1103" s="78"/>
      <c r="R1103" s="78"/>
      <c r="S1103" s="78"/>
    </row>
    <row r="1104" spans="17:19" x14ac:dyDescent="0.3">
      <c r="Q1104" s="78"/>
      <c r="R1104" s="78"/>
      <c r="S1104" s="78"/>
    </row>
    <row r="1105" spans="17:19" x14ac:dyDescent="0.3">
      <c r="Q1105" s="78"/>
      <c r="R1105" s="78"/>
      <c r="S1105" s="78"/>
    </row>
    <row r="1106" spans="17:19" x14ac:dyDescent="0.3">
      <c r="Q1106" s="78"/>
      <c r="R1106" s="78"/>
      <c r="S1106" s="78"/>
    </row>
    <row r="1107" spans="17:19" x14ac:dyDescent="0.3">
      <c r="Q1107" s="78"/>
      <c r="R1107" s="78"/>
      <c r="S1107" s="78"/>
    </row>
    <row r="1108" spans="17:19" x14ac:dyDescent="0.3">
      <c r="Q1108" s="78"/>
      <c r="R1108" s="78"/>
      <c r="S1108" s="78"/>
    </row>
    <row r="1109" spans="17:19" x14ac:dyDescent="0.3">
      <c r="Q1109" s="78"/>
      <c r="R1109" s="78"/>
      <c r="S1109" s="78"/>
    </row>
    <row r="1110" spans="17:19" x14ac:dyDescent="0.3">
      <c r="Q1110" s="78"/>
      <c r="R1110" s="78"/>
      <c r="S1110" s="78"/>
    </row>
    <row r="1111" spans="17:19" x14ac:dyDescent="0.3">
      <c r="Q1111" s="78"/>
      <c r="R1111" s="78"/>
      <c r="S1111" s="78"/>
    </row>
    <row r="1112" spans="17:19" x14ac:dyDescent="0.3">
      <c r="Q1112" s="78"/>
      <c r="R1112" s="78"/>
      <c r="S1112" s="78"/>
    </row>
    <row r="1113" spans="17:19" x14ac:dyDescent="0.3">
      <c r="Q1113" s="78"/>
      <c r="R1113" s="78"/>
      <c r="S1113" s="78"/>
    </row>
    <row r="1114" spans="17:19" x14ac:dyDescent="0.3">
      <c r="Q1114" s="78"/>
      <c r="R1114" s="78"/>
      <c r="S1114" s="78"/>
    </row>
    <row r="1115" spans="17:19" x14ac:dyDescent="0.3">
      <c r="Q1115" s="78"/>
      <c r="R1115" s="78"/>
      <c r="S1115" s="78"/>
    </row>
    <row r="1116" spans="17:19" x14ac:dyDescent="0.3">
      <c r="Q1116" s="78"/>
      <c r="R1116" s="78"/>
      <c r="S1116" s="78"/>
    </row>
    <row r="1117" spans="17:19" x14ac:dyDescent="0.3">
      <c r="Q1117" s="78"/>
      <c r="R1117" s="78"/>
      <c r="S1117" s="78"/>
    </row>
    <row r="1118" spans="17:19" x14ac:dyDescent="0.3">
      <c r="Q1118" s="78"/>
      <c r="R1118" s="78"/>
      <c r="S1118" s="78"/>
    </row>
    <row r="1119" spans="17:19" x14ac:dyDescent="0.3">
      <c r="Q1119" s="78"/>
      <c r="R1119" s="78"/>
      <c r="S1119" s="78"/>
    </row>
    <row r="1120" spans="17:19" x14ac:dyDescent="0.3">
      <c r="Q1120" s="78"/>
      <c r="R1120" s="78"/>
      <c r="S1120" s="78"/>
    </row>
    <row r="1121" spans="17:19" x14ac:dyDescent="0.3">
      <c r="Q1121" s="78"/>
      <c r="R1121" s="78"/>
      <c r="S1121" s="78"/>
    </row>
    <row r="1122" spans="17:19" x14ac:dyDescent="0.3">
      <c r="Q1122" s="78"/>
      <c r="R1122" s="78"/>
      <c r="S1122" s="78"/>
    </row>
    <row r="1123" spans="17:19" x14ac:dyDescent="0.3">
      <c r="Q1123" s="78"/>
      <c r="R1123" s="78"/>
      <c r="S1123" s="78"/>
    </row>
    <row r="1124" spans="17:19" x14ac:dyDescent="0.3">
      <c r="Q1124" s="78"/>
      <c r="R1124" s="78"/>
      <c r="S1124" s="78"/>
    </row>
    <row r="1125" spans="17:19" x14ac:dyDescent="0.3">
      <c r="Q1125" s="78"/>
      <c r="R1125" s="78"/>
      <c r="S1125" s="78"/>
    </row>
    <row r="1126" spans="17:19" x14ac:dyDescent="0.3">
      <c r="Q1126" s="78"/>
      <c r="R1126" s="78"/>
      <c r="S1126" s="78"/>
    </row>
    <row r="1127" spans="17:19" x14ac:dyDescent="0.3">
      <c r="Q1127" s="78"/>
      <c r="R1127" s="78"/>
      <c r="S1127" s="78"/>
    </row>
    <row r="1128" spans="17:19" x14ac:dyDescent="0.3">
      <c r="Q1128" s="78"/>
      <c r="R1128" s="78"/>
      <c r="S1128" s="78"/>
    </row>
    <row r="1129" spans="17:19" x14ac:dyDescent="0.3">
      <c r="Q1129" s="78"/>
      <c r="R1129" s="78"/>
      <c r="S1129" s="78"/>
    </row>
    <row r="1130" spans="17:19" x14ac:dyDescent="0.3">
      <c r="Q1130" s="78"/>
      <c r="R1130" s="78"/>
      <c r="S1130" s="78"/>
    </row>
    <row r="1131" spans="17:19" x14ac:dyDescent="0.3">
      <c r="Q1131" s="78"/>
      <c r="R1131" s="78"/>
      <c r="S1131" s="78"/>
    </row>
    <row r="1132" spans="17:19" x14ac:dyDescent="0.3">
      <c r="Q1132" s="75"/>
      <c r="R1132" s="75"/>
      <c r="S1132" s="75"/>
    </row>
    <row r="1133" spans="17:19" x14ac:dyDescent="0.3">
      <c r="Q1133" s="75"/>
      <c r="R1133" s="75"/>
      <c r="S1133" s="75"/>
    </row>
    <row r="1134" spans="17:19" x14ac:dyDescent="0.3">
      <c r="Q1134" s="75"/>
      <c r="R1134" s="75"/>
      <c r="S1134" s="75"/>
    </row>
    <row r="1135" spans="17:19" x14ac:dyDescent="0.3">
      <c r="Q1135" s="75"/>
      <c r="R1135" s="75"/>
      <c r="S1135" s="75"/>
    </row>
    <row r="1136" spans="17:19" x14ac:dyDescent="0.3">
      <c r="Q1136" s="75"/>
      <c r="R1136" s="75"/>
      <c r="S1136" s="75"/>
    </row>
    <row r="1137" spans="17:19" x14ac:dyDescent="0.3">
      <c r="Q1137" s="75"/>
      <c r="R1137" s="75"/>
      <c r="S1137" s="75"/>
    </row>
    <row r="1138" spans="17:19" x14ac:dyDescent="0.3">
      <c r="Q1138" s="75"/>
      <c r="R1138" s="75"/>
      <c r="S1138" s="75"/>
    </row>
    <row r="1139" spans="17:19" x14ac:dyDescent="0.3">
      <c r="Q1139" s="75"/>
      <c r="R1139" s="75"/>
      <c r="S1139" s="75"/>
    </row>
    <row r="1140" spans="17:19" x14ac:dyDescent="0.3">
      <c r="Q1140" s="75"/>
      <c r="R1140" s="75"/>
      <c r="S1140" s="75"/>
    </row>
    <row r="1141" spans="17:19" x14ac:dyDescent="0.3">
      <c r="Q1141" s="75"/>
      <c r="R1141" s="75"/>
      <c r="S1141" s="75"/>
    </row>
    <row r="1142" spans="17:19" x14ac:dyDescent="0.3">
      <c r="Q1142" s="75"/>
      <c r="R1142" s="75"/>
      <c r="S1142" s="75"/>
    </row>
    <row r="1143" spans="17:19" x14ac:dyDescent="0.3">
      <c r="Q1143" s="75"/>
      <c r="R1143" s="75"/>
      <c r="S1143" s="75"/>
    </row>
    <row r="1144" spans="17:19" x14ac:dyDescent="0.3">
      <c r="Q1144" s="75"/>
      <c r="R1144" s="75"/>
      <c r="S1144" s="75"/>
    </row>
    <row r="1145" spans="17:19" x14ac:dyDescent="0.3">
      <c r="Q1145" s="75"/>
      <c r="R1145" s="75"/>
      <c r="S1145" s="75"/>
    </row>
    <row r="1146" spans="17:19" x14ac:dyDescent="0.3">
      <c r="Q1146" s="75"/>
      <c r="R1146" s="75"/>
      <c r="S1146" s="75"/>
    </row>
    <row r="1147" spans="17:19" x14ac:dyDescent="0.3">
      <c r="Q1147" s="75"/>
      <c r="R1147" s="75"/>
      <c r="S1147" s="75"/>
    </row>
    <row r="1148" spans="17:19" x14ac:dyDescent="0.3">
      <c r="Q1148" s="75"/>
      <c r="R1148" s="75"/>
      <c r="S1148" s="75"/>
    </row>
    <row r="1149" spans="17:19" x14ac:dyDescent="0.3">
      <c r="Q1149" s="75"/>
      <c r="R1149" s="75"/>
      <c r="S1149" s="75"/>
    </row>
    <row r="1150" spans="17:19" x14ac:dyDescent="0.3">
      <c r="Q1150" s="75"/>
      <c r="R1150" s="75"/>
      <c r="S1150" s="75"/>
    </row>
    <row r="1151" spans="17:19" x14ac:dyDescent="0.3">
      <c r="Q1151" s="75"/>
      <c r="R1151" s="75"/>
      <c r="S1151" s="75"/>
    </row>
    <row r="1152" spans="17:19" x14ac:dyDescent="0.3">
      <c r="Q1152" s="75"/>
      <c r="R1152" s="75"/>
      <c r="S1152" s="75"/>
    </row>
    <row r="1153" spans="17:19" x14ac:dyDescent="0.3">
      <c r="Q1153" s="75"/>
      <c r="R1153" s="75"/>
      <c r="S1153" s="75"/>
    </row>
    <row r="1154" spans="17:19" x14ac:dyDescent="0.3">
      <c r="Q1154" s="75"/>
      <c r="R1154" s="75"/>
      <c r="S1154" s="75"/>
    </row>
    <row r="1155" spans="17:19" x14ac:dyDescent="0.3">
      <c r="Q1155" s="75"/>
      <c r="R1155" s="75"/>
      <c r="S1155" s="75"/>
    </row>
    <row r="1156" spans="17:19" x14ac:dyDescent="0.3">
      <c r="Q1156" s="75"/>
      <c r="R1156" s="75"/>
      <c r="S1156" s="75"/>
    </row>
    <row r="1157" spans="17:19" x14ac:dyDescent="0.3">
      <c r="Q1157" s="75"/>
      <c r="R1157" s="75"/>
      <c r="S1157" s="75"/>
    </row>
    <row r="1158" spans="17:19" x14ac:dyDescent="0.3">
      <c r="Q1158" s="75"/>
      <c r="R1158" s="75"/>
      <c r="S1158" s="75"/>
    </row>
    <row r="1159" spans="17:19" x14ac:dyDescent="0.3">
      <c r="Q1159" s="75"/>
      <c r="R1159" s="75"/>
      <c r="S1159" s="75"/>
    </row>
    <row r="1160" spans="17:19" x14ac:dyDescent="0.3">
      <c r="Q1160" s="75"/>
      <c r="R1160" s="75"/>
      <c r="S1160" s="75"/>
    </row>
    <row r="1161" spans="17:19" x14ac:dyDescent="0.3">
      <c r="Q1161" s="75"/>
      <c r="R1161" s="75"/>
      <c r="S1161" s="75"/>
    </row>
    <row r="1162" spans="17:19" x14ac:dyDescent="0.3">
      <c r="Q1162" s="75"/>
      <c r="R1162" s="75"/>
      <c r="S1162" s="75"/>
    </row>
    <row r="1163" spans="17:19" x14ac:dyDescent="0.3">
      <c r="Q1163" s="75"/>
      <c r="R1163" s="75"/>
      <c r="S1163" s="75"/>
    </row>
    <row r="1164" spans="17:19" x14ac:dyDescent="0.3">
      <c r="Q1164" s="75"/>
      <c r="R1164" s="75"/>
      <c r="S1164" s="75"/>
    </row>
    <row r="1165" spans="17:19" x14ac:dyDescent="0.3">
      <c r="Q1165" s="75"/>
      <c r="R1165" s="75"/>
      <c r="S1165" s="75"/>
    </row>
  </sheetData>
  <mergeCells count="36">
    <mergeCell ref="D38:M38"/>
    <mergeCell ref="D2:M2"/>
    <mergeCell ref="D3:M3"/>
    <mergeCell ref="K36:L36"/>
    <mergeCell ref="J25:K25"/>
    <mergeCell ref="L25:M25"/>
    <mergeCell ref="L26:M26"/>
    <mergeCell ref="J28:K28"/>
    <mergeCell ref="J29:K29"/>
    <mergeCell ref="F11:H11"/>
    <mergeCell ref="K10:L10"/>
    <mergeCell ref="D25:I30"/>
    <mergeCell ref="J30:K30"/>
    <mergeCell ref="L30:M30"/>
    <mergeCell ref="L29:M29"/>
    <mergeCell ref="L28:M28"/>
    <mergeCell ref="L27:M27"/>
    <mergeCell ref="L32:M32"/>
    <mergeCell ref="D4:M4"/>
    <mergeCell ref="F31:M31"/>
    <mergeCell ref="D31:E31"/>
    <mergeCell ref="D32:F32"/>
    <mergeCell ref="D9:E9"/>
    <mergeCell ref="F9:I9"/>
    <mergeCell ref="K9:L9"/>
    <mergeCell ref="F12:H12"/>
    <mergeCell ref="F10:H10"/>
    <mergeCell ref="H32:I32"/>
    <mergeCell ref="Q10:T11"/>
    <mergeCell ref="P12:T13"/>
    <mergeCell ref="L1:M1"/>
    <mergeCell ref="D7:M7"/>
    <mergeCell ref="D5:M5"/>
    <mergeCell ref="D6:M6"/>
    <mergeCell ref="D1:E1"/>
    <mergeCell ref="F1:K1"/>
  </mergeCells>
  <dataValidations count="2">
    <dataValidation type="list" allowBlank="1" showInputMessage="1" showErrorMessage="1" promptTitle="Payment Mode" prompt="Select mode of payment" sqref="G32" xr:uid="{20975A0B-D3D0-49C7-95FB-56DB79A4CE0F}">
      <formula1>Payment_Option</formula1>
    </dataValidation>
    <dataValidation type="date" operator="equal" allowBlank="1" showInputMessage="1" showErrorMessage="1" sqref="R16" xr:uid="{39EBE4A7-4E3A-44F0-BD8E-ECDDF464B059}">
      <formula1>R16</formula1>
    </dataValidation>
  </dataValidations>
  <pageMargins left="0.25" right="0.25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nkedCell="Q14" listFillRange="CustomerName" r:id="rId5">
            <anchor moveWithCells="1">
              <from>
                <xdr:col>15</xdr:col>
                <xdr:colOff>342900</xdr:colOff>
                <xdr:row>13</xdr:row>
                <xdr:rowOff>99060</xdr:rowOff>
              </from>
              <to>
                <xdr:col>19</xdr:col>
                <xdr:colOff>259080</xdr:colOff>
                <xdr:row>13</xdr:row>
                <xdr:rowOff>396240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EDDA-D8C0-4CEA-B333-FC9553B9638E}">
  <sheetPr codeName="Sheet2"/>
  <dimension ref="A1:R480"/>
  <sheetViews>
    <sheetView showGridLines="0" workbookViewId="0">
      <selection activeCell="B12" sqref="B12"/>
    </sheetView>
  </sheetViews>
  <sheetFormatPr defaultRowHeight="14.4" x14ac:dyDescent="0.3"/>
  <cols>
    <col min="1" max="1" width="8.88671875" style="37"/>
    <col min="2" max="2" width="21.21875" style="37" customWidth="1"/>
    <col min="3" max="3" width="20.109375" style="37" customWidth="1"/>
    <col min="4" max="4" width="15.77734375" style="37" customWidth="1"/>
    <col min="5" max="5" width="25.6640625" style="37" customWidth="1"/>
    <col min="6" max="7" width="8.88671875" style="37"/>
    <col min="8" max="8" width="11" style="65" customWidth="1"/>
    <col min="9" max="9" width="13.88671875" style="65" customWidth="1"/>
    <col min="10" max="10" width="12.6640625" style="65" customWidth="1"/>
    <col min="11" max="11" width="11.33203125" style="65" bestFit="1" customWidth="1"/>
    <col min="12" max="12" width="19.77734375" style="39" customWidth="1"/>
    <col min="13" max="13" width="12.6640625" style="37" customWidth="1"/>
    <col min="14" max="14" width="12.5546875" style="71" customWidth="1"/>
    <col min="15" max="15" width="11.109375" style="71" customWidth="1"/>
    <col min="16" max="16" width="10.88671875" style="74" customWidth="1"/>
    <col min="17" max="17" width="8.88671875" style="37"/>
    <col min="18" max="19" width="20.33203125" style="37" customWidth="1"/>
    <col min="20" max="16384" width="8.88671875" style="37"/>
  </cols>
  <sheetData>
    <row r="1" spans="1:18" s="38" customFormat="1" ht="28.2" customHeight="1" x14ac:dyDescent="0.3">
      <c r="A1" s="38" t="s">
        <v>49</v>
      </c>
      <c r="B1" s="38" t="s">
        <v>48</v>
      </c>
      <c r="C1" s="38" t="s">
        <v>45</v>
      </c>
      <c r="D1" s="38" t="s">
        <v>46</v>
      </c>
      <c r="E1" s="38" t="s">
        <v>47</v>
      </c>
      <c r="F1" s="38" t="s">
        <v>50</v>
      </c>
      <c r="G1" s="38" t="s">
        <v>51</v>
      </c>
      <c r="H1" s="61" t="s">
        <v>52</v>
      </c>
      <c r="I1" s="61" t="s">
        <v>54</v>
      </c>
      <c r="J1" s="61" t="s">
        <v>55</v>
      </c>
      <c r="K1" s="61" t="s">
        <v>53</v>
      </c>
      <c r="L1" s="38" t="s">
        <v>64</v>
      </c>
      <c r="M1" s="72"/>
      <c r="N1" s="70" t="s">
        <v>69</v>
      </c>
      <c r="O1" s="70" t="s">
        <v>70</v>
      </c>
      <c r="P1" s="73" t="s">
        <v>71</v>
      </c>
    </row>
    <row r="2" spans="1:18" s="43" customFormat="1" x14ac:dyDescent="0.3">
      <c r="A2" s="41">
        <v>1</v>
      </c>
      <c r="B2" s="46">
        <v>44711.529409722221</v>
      </c>
      <c r="C2" s="42" t="s">
        <v>73</v>
      </c>
      <c r="D2" s="42">
        <v>6299</v>
      </c>
      <c r="E2" s="42" t="s">
        <v>74</v>
      </c>
      <c r="F2" s="42">
        <v>1.5</v>
      </c>
      <c r="G2" s="42">
        <v>1.5</v>
      </c>
      <c r="H2" s="62">
        <v>100</v>
      </c>
      <c r="I2" s="62">
        <v>57725</v>
      </c>
      <c r="J2" s="62">
        <v>50000</v>
      </c>
      <c r="K2" s="62">
        <v>7725</v>
      </c>
      <c r="L2" s="42" t="s">
        <v>41</v>
      </c>
      <c r="M2" s="43" t="s">
        <v>66</v>
      </c>
      <c r="N2" s="71">
        <f>ROW()</f>
        <v>2</v>
      </c>
      <c r="O2" s="71">
        <f>IF(ISNUMBER(SEARCH(Invoice!$Q$14,C2)),N2,"")</f>
        <v>2</v>
      </c>
      <c r="P2" s="74">
        <f>IFERROR(SMALL(O2:O469,ROWS($O$2:O2)),"")</f>
        <v>2</v>
      </c>
    </row>
    <row r="3" spans="1:18" x14ac:dyDescent="0.3">
      <c r="A3" s="39">
        <v>2</v>
      </c>
      <c r="B3" s="60">
        <v>44711.532719907409</v>
      </c>
      <c r="C3" s="40" t="s">
        <v>75</v>
      </c>
      <c r="D3" s="40" t="s">
        <v>77</v>
      </c>
      <c r="E3" s="40" t="s">
        <v>76</v>
      </c>
      <c r="F3" s="40">
        <v>1.5</v>
      </c>
      <c r="G3" s="40">
        <v>1.5</v>
      </c>
      <c r="H3" s="63">
        <v>200</v>
      </c>
      <c r="I3" s="63">
        <v>65803</v>
      </c>
      <c r="J3" s="63">
        <v>60000</v>
      </c>
      <c r="K3" s="63">
        <v>5803</v>
      </c>
      <c r="L3" s="40" t="s">
        <v>41</v>
      </c>
      <c r="N3" s="71">
        <f>ROW()</f>
        <v>3</v>
      </c>
      <c r="O3" s="71">
        <f>IF(ISNUMBER(SEARCH(Invoice!$Q$14,C3)),N3,"")</f>
        <v>3</v>
      </c>
      <c r="P3" s="74">
        <f>IFERROR(SMALL(O3:O470,ROWS($O$2:O3)),"")</f>
        <v>4</v>
      </c>
    </row>
    <row r="4" spans="1:18" s="43" customFormat="1" x14ac:dyDescent="0.3">
      <c r="A4" s="44">
        <v>3</v>
      </c>
      <c r="B4" s="53">
        <v>44711.563611111109</v>
      </c>
      <c r="C4" s="45" t="s">
        <v>78</v>
      </c>
      <c r="D4" s="45">
        <v>6299586911</v>
      </c>
      <c r="E4" s="45" t="s">
        <v>79</v>
      </c>
      <c r="F4" s="45">
        <v>1.5</v>
      </c>
      <c r="G4" s="45">
        <v>1.5</v>
      </c>
      <c r="H4" s="64"/>
      <c r="I4" s="64">
        <v>56214</v>
      </c>
      <c r="J4" s="64">
        <v>55000</v>
      </c>
      <c r="K4" s="64">
        <v>1214</v>
      </c>
      <c r="L4" s="45" t="s">
        <v>38</v>
      </c>
      <c r="N4" s="71">
        <f>ROW()</f>
        <v>4</v>
      </c>
      <c r="O4" s="71">
        <f>IF(ISNUMBER(SEARCH(Invoice!$Q$14,C4)),N4,"")</f>
        <v>4</v>
      </c>
      <c r="P4" s="74" t="str">
        <f>IFERROR(SMALL(O4:O471,ROWS($O$2:O4)),"")</f>
        <v/>
      </c>
    </row>
    <row r="5" spans="1:18" x14ac:dyDescent="0.3">
      <c r="A5" s="39">
        <v>4</v>
      </c>
      <c r="B5" s="60">
        <v>44711.733252314814</v>
      </c>
      <c r="C5" s="40" t="s">
        <v>83</v>
      </c>
      <c r="D5" s="40">
        <v>6299586911</v>
      </c>
      <c r="E5" s="40" t="s">
        <v>84</v>
      </c>
      <c r="F5" s="40">
        <v>1.5</v>
      </c>
      <c r="G5" s="40">
        <v>1.5</v>
      </c>
      <c r="H5" s="63">
        <v>50</v>
      </c>
      <c r="I5" s="63">
        <v>45270</v>
      </c>
      <c r="J5" s="63">
        <v>45000</v>
      </c>
      <c r="K5" s="63">
        <v>270</v>
      </c>
      <c r="L5" s="40" t="s">
        <v>40</v>
      </c>
      <c r="N5" s="71">
        <f>ROW()</f>
        <v>5</v>
      </c>
      <c r="O5" s="71">
        <f>IF(ISNUMBER(SEARCH(Invoice!$Q$14,C5)),N5,"")</f>
        <v>5</v>
      </c>
      <c r="P5" s="74" t="str">
        <f>IFERROR(SMALL(O5:O472,ROWS($O$2:O5)),"")</f>
        <v/>
      </c>
    </row>
    <row r="6" spans="1:18" s="43" customFormat="1" x14ac:dyDescent="0.3">
      <c r="A6" s="44"/>
      <c r="B6" s="53"/>
      <c r="C6" s="45"/>
      <c r="D6" s="45"/>
      <c r="E6" s="45"/>
      <c r="F6" s="45"/>
      <c r="G6" s="45"/>
      <c r="H6" s="64"/>
      <c r="I6" s="64"/>
      <c r="J6" s="64"/>
      <c r="K6" s="64"/>
      <c r="L6" s="45"/>
      <c r="N6" s="71">
        <f>ROW()</f>
        <v>6</v>
      </c>
      <c r="O6" s="71" t="str">
        <f>IF(ISNUMBER(SEARCH(Invoice!$Q$14,C6)),N6,"")</f>
        <v/>
      </c>
      <c r="P6" s="74" t="str">
        <f>IFERROR(SMALL(O6:O473,ROWS($O$2:O6)),"")</f>
        <v/>
      </c>
    </row>
    <row r="7" spans="1:18" x14ac:dyDescent="0.3">
      <c r="A7" s="39"/>
      <c r="B7" s="60"/>
      <c r="C7" s="40"/>
      <c r="D7" s="40"/>
      <c r="E7" s="40"/>
      <c r="F7" s="40"/>
      <c r="G7" s="40"/>
      <c r="H7" s="63"/>
      <c r="I7" s="63"/>
      <c r="J7" s="63"/>
      <c r="K7" s="63"/>
      <c r="L7" s="40"/>
      <c r="N7" s="71">
        <f>ROW()</f>
        <v>7</v>
      </c>
      <c r="O7" s="71" t="str">
        <f>IF(ISNUMBER(SEARCH(Invoice!$Q$14,C7)),N7,"")</f>
        <v/>
      </c>
      <c r="P7" s="74" t="str">
        <f>IFERROR(SMALL(O7:O474,ROWS($O$2:O7)),"")</f>
        <v/>
      </c>
    </row>
    <row r="8" spans="1:18" x14ac:dyDescent="0.3">
      <c r="A8" s="44"/>
      <c r="B8" s="53"/>
      <c r="C8" s="45"/>
      <c r="D8" s="45"/>
      <c r="E8" s="45"/>
      <c r="F8" s="45"/>
      <c r="G8" s="45"/>
      <c r="H8" s="64"/>
      <c r="I8" s="64"/>
      <c r="J8" s="64"/>
      <c r="K8" s="64"/>
      <c r="L8" s="45"/>
      <c r="M8" s="43"/>
      <c r="N8" s="71">
        <f>ROW()</f>
        <v>8</v>
      </c>
      <c r="O8" s="71" t="str">
        <f>IF(ISNUMBER(SEARCH(Invoice!$Q$14,C8)),N8,"")</f>
        <v/>
      </c>
      <c r="P8" s="74" t="str">
        <f>IFERROR(SMALL(O8:O475,ROWS($O$2:O8)),"")</f>
        <v/>
      </c>
      <c r="Q8" s="43"/>
      <c r="R8" s="43"/>
    </row>
    <row r="9" spans="1:18" x14ac:dyDescent="0.3">
      <c r="A9" s="39"/>
      <c r="B9" s="60"/>
      <c r="C9" s="40"/>
      <c r="D9" s="40"/>
      <c r="E9" s="40"/>
      <c r="F9" s="40"/>
      <c r="G9" s="40"/>
      <c r="H9" s="63"/>
      <c r="I9" s="63"/>
      <c r="J9" s="63"/>
      <c r="K9" s="63"/>
      <c r="L9" s="40"/>
      <c r="N9" s="71">
        <f>ROW()</f>
        <v>9</v>
      </c>
      <c r="O9" s="71" t="str">
        <f>IF(ISNUMBER(SEARCH(Invoice!$Q$14,C9)),N9,"")</f>
        <v/>
      </c>
      <c r="P9" s="74" t="str">
        <f>IFERROR(SMALL(O9:O476,ROWS($O$2:O9)),"")</f>
        <v/>
      </c>
    </row>
    <row r="10" spans="1:18" x14ac:dyDescent="0.3">
      <c r="A10" s="44"/>
      <c r="B10" s="53"/>
      <c r="C10" s="45"/>
      <c r="D10" s="45"/>
      <c r="E10" s="45"/>
      <c r="F10" s="45"/>
      <c r="G10" s="45"/>
      <c r="H10" s="64"/>
      <c r="I10" s="64"/>
      <c r="J10" s="64"/>
      <c r="K10" s="64"/>
      <c r="L10" s="45"/>
      <c r="M10" s="43"/>
      <c r="N10" s="71">
        <f>ROW()</f>
        <v>10</v>
      </c>
      <c r="O10" s="71" t="str">
        <f>IF(ISNUMBER(SEARCH(Invoice!$Q$14,C10)),N10,"")</f>
        <v/>
      </c>
      <c r="P10" s="74" t="str">
        <f>IFERROR(SMALL(O10:O477,ROWS($O$2:O10)),"")</f>
        <v/>
      </c>
      <c r="Q10" s="43"/>
      <c r="R10" s="43"/>
    </row>
    <row r="11" spans="1:18" x14ac:dyDescent="0.3">
      <c r="A11" s="39"/>
      <c r="B11" s="60"/>
      <c r="C11" s="40"/>
      <c r="D11" s="40"/>
      <c r="E11" s="40"/>
      <c r="F11" s="40"/>
      <c r="G11" s="40"/>
      <c r="H11" s="63"/>
      <c r="I11" s="63"/>
      <c r="J11" s="63"/>
      <c r="K11" s="63"/>
      <c r="L11" s="40"/>
      <c r="N11" s="71">
        <f>ROW()</f>
        <v>11</v>
      </c>
      <c r="O11" s="71" t="str">
        <f>IF(ISNUMBER(SEARCH(Invoice!$Q$14,C11)),N11,"")</f>
        <v/>
      </c>
      <c r="P11" s="74" t="str">
        <f>IFERROR(SMALL(O11:O478,ROWS($O$2:O11)),"")</f>
        <v/>
      </c>
    </row>
    <row r="12" spans="1:18" x14ac:dyDescent="0.3">
      <c r="A12" s="44"/>
      <c r="B12" s="45"/>
      <c r="C12" s="45"/>
      <c r="D12" s="45"/>
      <c r="E12" s="45"/>
      <c r="F12" s="45"/>
      <c r="G12" s="45"/>
      <c r="H12" s="64"/>
      <c r="I12" s="64"/>
      <c r="J12" s="64"/>
      <c r="K12" s="64"/>
      <c r="L12" s="45"/>
      <c r="M12" s="43"/>
      <c r="N12" s="71">
        <f>ROW()</f>
        <v>12</v>
      </c>
      <c r="O12" s="71" t="str">
        <f>IF(ISNUMBER(SEARCH(Invoice!$Q$14,C12)),N12,"")</f>
        <v/>
      </c>
      <c r="P12" s="74" t="str">
        <f>IFERROR(SMALL(O12:O479,ROWS($O$2:O12)),"")</f>
        <v/>
      </c>
      <c r="Q12" s="43"/>
      <c r="R12" s="43"/>
    </row>
    <row r="13" spans="1:18" x14ac:dyDescent="0.3">
      <c r="A13" s="39"/>
      <c r="B13" s="40"/>
      <c r="C13" s="40"/>
      <c r="D13" s="40"/>
      <c r="E13" s="40"/>
      <c r="F13" s="40"/>
      <c r="G13" s="40"/>
      <c r="H13" s="63"/>
      <c r="I13" s="63"/>
      <c r="J13" s="63"/>
      <c r="K13" s="63"/>
      <c r="L13" s="40"/>
      <c r="N13" s="71">
        <f>ROW()</f>
        <v>13</v>
      </c>
      <c r="O13" s="71" t="str">
        <f>IF(ISNUMBER(SEARCH(Invoice!$Q$14,C13)),N13,"")</f>
        <v/>
      </c>
      <c r="P13" s="74" t="str">
        <f>IFERROR(SMALL(O13:O480,ROWS($O$2:O13)),"")</f>
        <v/>
      </c>
    </row>
    <row r="14" spans="1:18" x14ac:dyDescent="0.3">
      <c r="A14" s="44"/>
      <c r="B14" s="45"/>
      <c r="C14" s="45"/>
      <c r="D14" s="45"/>
      <c r="E14" s="45"/>
      <c r="F14" s="45"/>
      <c r="G14" s="45"/>
      <c r="H14" s="64"/>
      <c r="I14" s="64"/>
      <c r="J14" s="64"/>
      <c r="K14" s="64"/>
      <c r="L14" s="45"/>
      <c r="M14" s="43"/>
      <c r="N14" s="71">
        <f>ROW()</f>
        <v>14</v>
      </c>
      <c r="O14" s="71" t="str">
        <f>IF(ISNUMBER(SEARCH(Invoice!$Q$14,C14)),N14,"")</f>
        <v/>
      </c>
      <c r="P14" s="74" t="str">
        <f>IFERROR(SMALL(O14:O481,ROWS($O$2:O14)),"")</f>
        <v/>
      </c>
      <c r="Q14" s="43"/>
      <c r="R14" s="43"/>
    </row>
    <row r="15" spans="1:18" x14ac:dyDescent="0.3">
      <c r="A15" s="39"/>
      <c r="B15" s="40"/>
      <c r="C15" s="40"/>
      <c r="D15" s="40"/>
      <c r="E15" s="40"/>
      <c r="F15" s="40"/>
      <c r="G15" s="40"/>
      <c r="H15" s="63"/>
      <c r="I15" s="63"/>
      <c r="J15" s="63"/>
      <c r="K15" s="63"/>
      <c r="L15" s="40"/>
      <c r="N15" s="71">
        <f>ROW()</f>
        <v>15</v>
      </c>
      <c r="O15" s="71" t="str">
        <f>IF(ISNUMBER(SEARCH(Invoice!$Q$14,C15)),N15,"")</f>
        <v/>
      </c>
      <c r="P15" s="74" t="str">
        <f>IFERROR(SMALL(O15:O482,ROWS($O$2:O15)),"")</f>
        <v/>
      </c>
    </row>
    <row r="16" spans="1:18" x14ac:dyDescent="0.3">
      <c r="A16" s="44"/>
      <c r="B16" s="45"/>
      <c r="C16" s="45"/>
      <c r="D16" s="45"/>
      <c r="E16" s="45"/>
      <c r="F16" s="45"/>
      <c r="G16" s="45"/>
      <c r="H16" s="64"/>
      <c r="I16" s="64"/>
      <c r="J16" s="64"/>
      <c r="K16" s="64"/>
      <c r="L16" s="53"/>
      <c r="M16" s="43"/>
      <c r="N16" s="71">
        <f>ROW()</f>
        <v>16</v>
      </c>
      <c r="O16" s="71" t="str">
        <f>IF(ISNUMBER(SEARCH(Invoice!$Q$14,C16)),N16,"")</f>
        <v/>
      </c>
      <c r="P16" s="74" t="str">
        <f>IFERROR(SMALL(O16:O483,ROWS($O$2:O16)),"")</f>
        <v/>
      </c>
      <c r="Q16" s="43"/>
      <c r="R16" s="43"/>
    </row>
    <row r="17" spans="1:18" x14ac:dyDescent="0.3">
      <c r="A17" s="39"/>
      <c r="B17" s="40"/>
      <c r="C17" s="40"/>
      <c r="D17" s="40"/>
      <c r="E17" s="40"/>
      <c r="F17" s="40"/>
      <c r="G17" s="40"/>
      <c r="H17" s="63"/>
      <c r="I17" s="63"/>
      <c r="J17" s="63"/>
      <c r="K17" s="63"/>
      <c r="L17" s="40"/>
      <c r="N17" s="71">
        <f>ROW()</f>
        <v>17</v>
      </c>
      <c r="O17" s="71" t="str">
        <f>IF(ISNUMBER(SEARCH(Invoice!$Q$14,C17)),N17,"")</f>
        <v/>
      </c>
      <c r="P17" s="74" t="str">
        <f>IFERROR(SMALL(O17:O484,ROWS($O$2:O17)),"")</f>
        <v/>
      </c>
    </row>
    <row r="18" spans="1:18" x14ac:dyDescent="0.3">
      <c r="A18" s="44"/>
      <c r="B18" s="45"/>
      <c r="C18" s="45"/>
      <c r="D18" s="45"/>
      <c r="E18" s="45"/>
      <c r="F18" s="45"/>
      <c r="G18" s="45"/>
      <c r="H18" s="64"/>
      <c r="I18" s="64"/>
      <c r="J18" s="64"/>
      <c r="K18" s="64"/>
      <c r="L18" s="45"/>
      <c r="M18" s="43"/>
      <c r="N18" s="71">
        <f>ROW()</f>
        <v>18</v>
      </c>
      <c r="O18" s="71" t="str">
        <f>IF(ISNUMBER(SEARCH(Invoice!$Q$14,C18)),N18,"")</f>
        <v/>
      </c>
      <c r="P18" s="74" t="str">
        <f>IFERROR(SMALL(O18:O485,ROWS($O$2:O18)),"")</f>
        <v/>
      </c>
      <c r="Q18" s="43"/>
      <c r="R18" s="43"/>
    </row>
    <row r="19" spans="1:18" x14ac:dyDescent="0.3">
      <c r="A19" s="39"/>
      <c r="B19" s="40"/>
      <c r="C19" s="40"/>
      <c r="D19" s="40"/>
      <c r="E19" s="40"/>
      <c r="F19" s="40"/>
      <c r="G19" s="40"/>
      <c r="H19" s="63"/>
      <c r="I19" s="63"/>
      <c r="J19" s="63"/>
      <c r="K19" s="63"/>
      <c r="L19" s="40"/>
      <c r="N19" s="71">
        <f>ROW()</f>
        <v>19</v>
      </c>
      <c r="O19" s="71" t="str">
        <f>IF(ISNUMBER(SEARCH(Invoice!$Q$14,C19)),N19,"")</f>
        <v/>
      </c>
      <c r="P19" s="74" t="str">
        <f>IFERROR(SMALL(O19:O486,ROWS($O$2:O19)),"")</f>
        <v/>
      </c>
    </row>
    <row r="20" spans="1:18" x14ac:dyDescent="0.3">
      <c r="A20" s="44"/>
      <c r="B20" s="45"/>
      <c r="C20" s="45"/>
      <c r="D20" s="45"/>
      <c r="E20" s="45"/>
      <c r="F20" s="45"/>
      <c r="G20" s="45"/>
      <c r="H20" s="64"/>
      <c r="I20" s="64"/>
      <c r="J20" s="64"/>
      <c r="K20" s="64"/>
      <c r="L20" s="45"/>
      <c r="M20" s="43"/>
      <c r="N20" s="71">
        <f>ROW()</f>
        <v>20</v>
      </c>
      <c r="O20" s="71" t="str">
        <f>IF(ISNUMBER(SEARCH(Invoice!$Q$14,C20)),N20,"")</f>
        <v/>
      </c>
      <c r="P20" s="74" t="str">
        <f>IFERROR(SMALL(O20:O487,ROWS($O$2:O20)),"")</f>
        <v/>
      </c>
      <c r="Q20" s="43"/>
      <c r="R20" s="43"/>
    </row>
    <row r="21" spans="1:18" x14ac:dyDescent="0.3">
      <c r="A21" s="39"/>
      <c r="B21" s="40"/>
      <c r="C21" s="40"/>
      <c r="D21" s="40"/>
      <c r="E21" s="40"/>
      <c r="F21" s="40"/>
      <c r="G21" s="40"/>
      <c r="H21" s="63"/>
      <c r="I21" s="63"/>
      <c r="J21" s="63"/>
      <c r="K21" s="63"/>
      <c r="L21" s="40"/>
      <c r="N21" s="71">
        <f>ROW()</f>
        <v>21</v>
      </c>
      <c r="O21" s="71" t="str">
        <f>IF(ISNUMBER(SEARCH(Invoice!$Q$14,C21)),N21,"")</f>
        <v/>
      </c>
      <c r="P21" s="74" t="str">
        <f>IFERROR(SMALL(O21:O488,ROWS($O$2:O21)),"")</f>
        <v/>
      </c>
    </row>
    <row r="22" spans="1:18" x14ac:dyDescent="0.3">
      <c r="A22" s="44"/>
      <c r="B22" s="45"/>
      <c r="C22" s="45"/>
      <c r="D22" s="45"/>
      <c r="E22" s="45"/>
      <c r="F22" s="45"/>
      <c r="G22" s="45"/>
      <c r="H22" s="64"/>
      <c r="I22" s="64"/>
      <c r="J22" s="64"/>
      <c r="K22" s="64"/>
      <c r="L22" s="45"/>
      <c r="M22" s="43"/>
      <c r="N22" s="71">
        <f>ROW()</f>
        <v>22</v>
      </c>
      <c r="O22" s="71" t="str">
        <f>IF(ISNUMBER(SEARCH(Invoice!$Q$14,C22)),N22,"")</f>
        <v/>
      </c>
      <c r="P22" s="74" t="str">
        <f>IFERROR(SMALL(O22:O489,ROWS($O$2:O22)),"")</f>
        <v/>
      </c>
      <c r="Q22" s="43"/>
      <c r="R22" s="43"/>
    </row>
    <row r="23" spans="1:18" x14ac:dyDescent="0.3">
      <c r="A23" s="39"/>
      <c r="B23" s="40"/>
      <c r="C23" s="40"/>
      <c r="D23" s="40"/>
      <c r="E23" s="40"/>
      <c r="F23" s="40"/>
      <c r="G23" s="40"/>
      <c r="H23" s="63"/>
      <c r="I23" s="63"/>
      <c r="J23" s="63"/>
      <c r="K23" s="63"/>
      <c r="L23" s="40"/>
      <c r="N23" s="71">
        <f>ROW()</f>
        <v>23</v>
      </c>
      <c r="O23" s="71" t="str">
        <f>IF(ISNUMBER(SEARCH(Invoice!$Q$14,C23)),N23,"")</f>
        <v/>
      </c>
      <c r="P23" s="74" t="str">
        <f>IFERROR(SMALL(O23:O490,ROWS($O$2:O23)),"")</f>
        <v/>
      </c>
    </row>
    <row r="24" spans="1:18" x14ac:dyDescent="0.3">
      <c r="A24" s="44"/>
      <c r="B24" s="45"/>
      <c r="C24" s="45"/>
      <c r="D24" s="45"/>
      <c r="E24" s="45"/>
      <c r="F24" s="45"/>
      <c r="G24" s="45"/>
      <c r="H24" s="64"/>
      <c r="I24" s="64"/>
      <c r="J24" s="64"/>
      <c r="K24" s="64"/>
      <c r="L24" s="45"/>
      <c r="M24" s="43"/>
      <c r="N24" s="71">
        <f>ROW()</f>
        <v>24</v>
      </c>
      <c r="O24" s="71" t="str">
        <f>IF(ISNUMBER(SEARCH(Invoice!$Q$14,C24)),N24,"")</f>
        <v/>
      </c>
      <c r="P24" s="74" t="str">
        <f>IFERROR(SMALL(O24:O491,ROWS($O$2:O24)),"")</f>
        <v/>
      </c>
      <c r="Q24" s="43"/>
      <c r="R24" s="43"/>
    </row>
    <row r="25" spans="1:18" x14ac:dyDescent="0.3">
      <c r="A25" s="39"/>
      <c r="B25" s="40"/>
      <c r="C25" s="40"/>
      <c r="D25" s="40"/>
      <c r="E25" s="40"/>
      <c r="F25" s="40"/>
      <c r="G25" s="40"/>
      <c r="H25" s="63"/>
      <c r="I25" s="63"/>
      <c r="J25" s="63"/>
      <c r="K25" s="63"/>
      <c r="L25" s="40"/>
      <c r="N25" s="71">
        <f>ROW()</f>
        <v>25</v>
      </c>
      <c r="O25" s="71" t="str">
        <f>IF(ISNUMBER(SEARCH(Invoice!$Q$14,C25)),N25,"")</f>
        <v/>
      </c>
      <c r="P25" s="74" t="str">
        <f>IFERROR(SMALL(O25:O492,ROWS($O$2:O25)),"")</f>
        <v/>
      </c>
    </row>
    <row r="26" spans="1:18" x14ac:dyDescent="0.3">
      <c r="A26" s="44"/>
      <c r="B26" s="45"/>
      <c r="C26" s="45"/>
      <c r="D26" s="45"/>
      <c r="E26" s="45"/>
      <c r="F26" s="45"/>
      <c r="G26" s="45"/>
      <c r="H26" s="64"/>
      <c r="I26" s="64"/>
      <c r="J26" s="64"/>
      <c r="K26" s="64"/>
      <c r="L26" s="45"/>
      <c r="M26" s="43"/>
      <c r="N26" s="71">
        <f>ROW()</f>
        <v>26</v>
      </c>
      <c r="O26" s="71" t="str">
        <f>IF(ISNUMBER(SEARCH(Invoice!$Q$14,C26)),N26,"")</f>
        <v/>
      </c>
      <c r="P26" s="74" t="str">
        <f>IFERROR(SMALL(O26:O493,ROWS($O$2:O26)),"")</f>
        <v/>
      </c>
      <c r="Q26" s="43"/>
      <c r="R26" s="43"/>
    </row>
    <row r="27" spans="1:18" x14ac:dyDescent="0.3">
      <c r="A27" s="39"/>
      <c r="B27" s="40"/>
      <c r="C27" s="40"/>
      <c r="D27" s="40"/>
      <c r="E27" s="40"/>
      <c r="F27" s="40"/>
      <c r="G27" s="40"/>
      <c r="H27" s="63"/>
      <c r="I27" s="63"/>
      <c r="J27" s="63"/>
      <c r="K27" s="63"/>
      <c r="L27" s="40"/>
      <c r="N27" s="71">
        <f>ROW()</f>
        <v>27</v>
      </c>
      <c r="O27" s="71" t="str">
        <f>IF(ISNUMBER(SEARCH(Invoice!$Q$14,C27)),N27,"")</f>
        <v/>
      </c>
      <c r="P27" s="74" t="str">
        <f>IFERROR(SMALL(O27:O494,ROWS($O$2:O27)),"")</f>
        <v/>
      </c>
    </row>
    <row r="28" spans="1:18" x14ac:dyDescent="0.3">
      <c r="A28" s="44"/>
      <c r="B28" s="45"/>
      <c r="C28" s="45"/>
      <c r="D28" s="45"/>
      <c r="E28" s="45"/>
      <c r="F28" s="45"/>
      <c r="G28" s="45"/>
      <c r="H28" s="64"/>
      <c r="I28" s="64"/>
      <c r="J28" s="64"/>
      <c r="K28" s="64"/>
      <c r="L28" s="45"/>
      <c r="M28" s="43"/>
      <c r="N28" s="71">
        <f>ROW()</f>
        <v>28</v>
      </c>
      <c r="O28" s="71" t="str">
        <f>IF(ISNUMBER(SEARCH(Invoice!$Q$14,C28)),N28,"")</f>
        <v/>
      </c>
      <c r="P28" s="74" t="str">
        <f>IFERROR(SMALL(O28:O495,ROWS($O$2:O28)),"")</f>
        <v/>
      </c>
      <c r="Q28" s="43"/>
      <c r="R28" s="43"/>
    </row>
    <row r="29" spans="1:18" x14ac:dyDescent="0.3">
      <c r="A29" s="39"/>
      <c r="B29" s="40"/>
      <c r="C29" s="40"/>
      <c r="D29" s="40"/>
      <c r="E29" s="40"/>
      <c r="F29" s="40"/>
      <c r="G29" s="40"/>
      <c r="H29" s="63"/>
      <c r="I29" s="63"/>
      <c r="J29" s="63"/>
      <c r="K29" s="63"/>
      <c r="L29" s="40"/>
      <c r="N29" s="71">
        <f>ROW()</f>
        <v>29</v>
      </c>
      <c r="O29" s="71" t="str">
        <f>IF(ISNUMBER(SEARCH(Invoice!$Q$14,C29)),N29,"")</f>
        <v/>
      </c>
      <c r="P29" s="74" t="str">
        <f>IFERROR(SMALL(O29:O496,ROWS($O$2:O29)),"")</f>
        <v/>
      </c>
    </row>
    <row r="30" spans="1:18" x14ac:dyDescent="0.3">
      <c r="A30" s="44"/>
      <c r="B30" s="45"/>
      <c r="C30" s="45"/>
      <c r="D30" s="45"/>
      <c r="E30" s="45"/>
      <c r="F30" s="45"/>
      <c r="G30" s="45"/>
      <c r="H30" s="64"/>
      <c r="I30" s="64"/>
      <c r="J30" s="64"/>
      <c r="K30" s="64"/>
      <c r="L30" s="45"/>
      <c r="M30" s="43"/>
      <c r="N30" s="71">
        <f>ROW()</f>
        <v>30</v>
      </c>
      <c r="O30" s="71" t="str">
        <f>IF(ISNUMBER(SEARCH(Invoice!$Q$14,C30)),N30,"")</f>
        <v/>
      </c>
      <c r="P30" s="74" t="str">
        <f>IFERROR(SMALL(O30:O497,ROWS($O$2:O30)),"")</f>
        <v/>
      </c>
      <c r="Q30" s="43"/>
      <c r="R30" s="43"/>
    </row>
    <row r="31" spans="1:18" x14ac:dyDescent="0.3">
      <c r="A31" s="39"/>
      <c r="B31" s="40"/>
      <c r="C31" s="40"/>
      <c r="D31" s="40"/>
      <c r="E31" s="40"/>
      <c r="F31" s="40"/>
      <c r="G31" s="40"/>
      <c r="H31" s="63"/>
      <c r="I31" s="63"/>
      <c r="J31" s="63"/>
      <c r="K31" s="63"/>
      <c r="L31" s="40"/>
      <c r="N31" s="71">
        <f>ROW()</f>
        <v>31</v>
      </c>
      <c r="O31" s="71" t="str">
        <f>IF(ISNUMBER(SEARCH(Invoice!$Q$14,C31)),N31,"")</f>
        <v/>
      </c>
      <c r="P31" s="74" t="str">
        <f>IFERROR(SMALL(O31:O498,ROWS($O$2:O31)),"")</f>
        <v/>
      </c>
    </row>
    <row r="32" spans="1:18" x14ac:dyDescent="0.3">
      <c r="A32" s="44"/>
      <c r="B32" s="45"/>
      <c r="C32" s="45"/>
      <c r="D32" s="45"/>
      <c r="E32" s="45"/>
      <c r="F32" s="45"/>
      <c r="G32" s="45"/>
      <c r="H32" s="64"/>
      <c r="I32" s="64"/>
      <c r="J32" s="64"/>
      <c r="K32" s="64"/>
      <c r="L32" s="45"/>
      <c r="M32" s="43"/>
      <c r="N32" s="71">
        <f>ROW()</f>
        <v>32</v>
      </c>
      <c r="O32" s="71" t="str">
        <f>IF(ISNUMBER(SEARCH(Invoice!$Q$14,C32)),N32,"")</f>
        <v/>
      </c>
      <c r="P32" s="74" t="str">
        <f>IFERROR(SMALL(O32:O499,ROWS($O$2:O32)),"")</f>
        <v/>
      </c>
      <c r="Q32" s="43"/>
      <c r="R32" s="43"/>
    </row>
    <row r="33" spans="1:18" x14ac:dyDescent="0.3">
      <c r="A33" s="39"/>
      <c r="B33" s="40"/>
      <c r="C33" s="40"/>
      <c r="D33" s="40"/>
      <c r="E33" s="40"/>
      <c r="F33" s="40"/>
      <c r="G33" s="40"/>
      <c r="H33" s="63"/>
      <c r="I33" s="63"/>
      <c r="J33" s="63"/>
      <c r="K33" s="63"/>
      <c r="L33" s="40"/>
      <c r="N33" s="71">
        <f>ROW()</f>
        <v>33</v>
      </c>
      <c r="O33" s="71" t="str">
        <f>IF(ISNUMBER(SEARCH(Invoice!$Q$14,C33)),N33,"")</f>
        <v/>
      </c>
      <c r="P33" s="74" t="str">
        <f>IFERROR(SMALL(O33:O500,ROWS($O$2:O33)),"")</f>
        <v/>
      </c>
    </row>
    <row r="34" spans="1:18" x14ac:dyDescent="0.3">
      <c r="A34" s="44"/>
      <c r="B34" s="45"/>
      <c r="C34" s="45"/>
      <c r="D34" s="45"/>
      <c r="E34" s="45"/>
      <c r="F34" s="45"/>
      <c r="G34" s="45"/>
      <c r="H34" s="64"/>
      <c r="I34" s="64"/>
      <c r="J34" s="64"/>
      <c r="K34" s="64"/>
      <c r="L34" s="45"/>
      <c r="M34" s="43"/>
      <c r="N34" s="71">
        <f>ROW()</f>
        <v>34</v>
      </c>
      <c r="O34" s="71" t="str">
        <f>IF(ISNUMBER(SEARCH(Invoice!$Q$14,C34)),N34,"")</f>
        <v/>
      </c>
      <c r="P34" s="74" t="str">
        <f>IFERROR(SMALL(O34:O501,ROWS($O$2:O34)),"")</f>
        <v/>
      </c>
      <c r="Q34" s="43"/>
      <c r="R34" s="43"/>
    </row>
    <row r="35" spans="1:18" x14ac:dyDescent="0.3">
      <c r="A35" s="39"/>
      <c r="B35" s="40"/>
      <c r="C35" s="40"/>
      <c r="D35" s="40"/>
      <c r="E35" s="40"/>
      <c r="F35" s="40"/>
      <c r="G35" s="40"/>
      <c r="H35" s="63"/>
      <c r="I35" s="63"/>
      <c r="J35" s="63"/>
      <c r="K35" s="63"/>
      <c r="L35" s="40"/>
      <c r="N35" s="71">
        <f>ROW()</f>
        <v>35</v>
      </c>
      <c r="O35" s="71" t="str">
        <f>IF(ISNUMBER(SEARCH(Invoice!$Q$14,C35)),N35,"")</f>
        <v/>
      </c>
      <c r="P35" s="74" t="str">
        <f>IFERROR(SMALL(O35:O502,ROWS($O$2:O35)),"")</f>
        <v/>
      </c>
    </row>
    <row r="36" spans="1:18" x14ac:dyDescent="0.3">
      <c r="A36" s="44"/>
      <c r="B36" s="45"/>
      <c r="C36" s="45"/>
      <c r="D36" s="45"/>
      <c r="E36" s="45"/>
      <c r="F36" s="45"/>
      <c r="G36" s="45"/>
      <c r="H36" s="64"/>
      <c r="I36" s="64"/>
      <c r="J36" s="64"/>
      <c r="K36" s="64"/>
      <c r="L36" s="45"/>
      <c r="M36" s="43"/>
      <c r="N36" s="71">
        <f>ROW()</f>
        <v>36</v>
      </c>
      <c r="O36" s="71" t="str">
        <f>IF(ISNUMBER(SEARCH(Invoice!$Q$14,C36)),N36,"")</f>
        <v/>
      </c>
      <c r="P36" s="74" t="str">
        <f>IFERROR(SMALL(O36:O503,ROWS($O$2:O36)),"")</f>
        <v/>
      </c>
      <c r="Q36" s="43"/>
      <c r="R36" s="43"/>
    </row>
    <row r="37" spans="1:18" x14ac:dyDescent="0.3">
      <c r="A37" s="39"/>
      <c r="B37" s="40"/>
      <c r="C37" s="40"/>
      <c r="D37" s="40"/>
      <c r="E37" s="40"/>
      <c r="F37" s="40"/>
      <c r="G37" s="40"/>
      <c r="H37" s="63"/>
      <c r="I37" s="63"/>
      <c r="J37" s="63"/>
      <c r="K37" s="63"/>
      <c r="L37" s="40"/>
      <c r="N37" s="71">
        <f>ROW()</f>
        <v>37</v>
      </c>
      <c r="O37" s="71" t="str">
        <f>IF(ISNUMBER(SEARCH(Invoice!$Q$14,C37)),N37,"")</f>
        <v/>
      </c>
      <c r="P37" s="74" t="str">
        <f>IFERROR(SMALL(O37:O504,ROWS($O$2:O37)),"")</f>
        <v/>
      </c>
    </row>
    <row r="38" spans="1:18" x14ac:dyDescent="0.3">
      <c r="A38" s="44"/>
      <c r="B38" s="45"/>
      <c r="C38" s="45"/>
      <c r="D38" s="45"/>
      <c r="E38" s="45"/>
      <c r="F38" s="45"/>
      <c r="G38" s="45"/>
      <c r="H38" s="64"/>
      <c r="I38" s="64"/>
      <c r="J38" s="64"/>
      <c r="K38" s="64"/>
      <c r="L38" s="45"/>
      <c r="M38" s="43"/>
      <c r="N38" s="71">
        <f>ROW()</f>
        <v>38</v>
      </c>
      <c r="O38" s="71" t="str">
        <f>IF(ISNUMBER(SEARCH(Invoice!$Q$14,C38)),N38,"")</f>
        <v/>
      </c>
      <c r="P38" s="74" t="str">
        <f>IFERROR(SMALL(O38:O505,ROWS($O$2:O38)),"")</f>
        <v/>
      </c>
      <c r="Q38" s="43"/>
      <c r="R38" s="43"/>
    </row>
    <row r="39" spans="1:18" x14ac:dyDescent="0.3">
      <c r="A39" s="39"/>
      <c r="B39" s="40"/>
      <c r="C39" s="40"/>
      <c r="D39" s="40"/>
      <c r="E39" s="40"/>
      <c r="F39" s="40"/>
      <c r="G39" s="40"/>
      <c r="H39" s="63"/>
      <c r="I39" s="63"/>
      <c r="J39" s="63"/>
      <c r="K39" s="63"/>
      <c r="L39" s="40"/>
      <c r="N39" s="71">
        <f>ROW()</f>
        <v>39</v>
      </c>
      <c r="O39" s="71" t="str">
        <f>IF(ISNUMBER(SEARCH(Invoice!$Q$14,C39)),N39,"")</f>
        <v/>
      </c>
      <c r="P39" s="74" t="str">
        <f>IFERROR(SMALL(O39:O506,ROWS($O$2:O39)),"")</f>
        <v/>
      </c>
    </row>
    <row r="40" spans="1:18" x14ac:dyDescent="0.3">
      <c r="A40" s="44"/>
      <c r="B40" s="45"/>
      <c r="C40" s="45"/>
      <c r="D40" s="45"/>
      <c r="E40" s="45"/>
      <c r="F40" s="45"/>
      <c r="G40" s="45"/>
      <c r="H40" s="64"/>
      <c r="I40" s="64"/>
      <c r="J40" s="64"/>
      <c r="K40" s="64"/>
      <c r="L40" s="45"/>
      <c r="M40" s="43"/>
      <c r="N40" s="71">
        <f>ROW()</f>
        <v>40</v>
      </c>
      <c r="O40" s="71" t="str">
        <f>IF(ISNUMBER(SEARCH(Invoice!$Q$14,C40)),N40,"")</f>
        <v/>
      </c>
      <c r="P40" s="74" t="str">
        <f>IFERROR(SMALL(O40:O507,ROWS($O$2:O40)),"")</f>
        <v/>
      </c>
      <c r="Q40" s="43"/>
      <c r="R40" s="43"/>
    </row>
    <row r="41" spans="1:18" x14ac:dyDescent="0.3">
      <c r="A41" s="39"/>
      <c r="B41" s="40"/>
      <c r="C41" s="40"/>
      <c r="D41" s="40"/>
      <c r="E41" s="40"/>
      <c r="F41" s="40"/>
      <c r="G41" s="40"/>
      <c r="H41" s="63"/>
      <c r="I41" s="63"/>
      <c r="J41" s="63"/>
      <c r="K41" s="63"/>
      <c r="L41" s="40"/>
      <c r="N41" s="71">
        <f>ROW()</f>
        <v>41</v>
      </c>
      <c r="O41" s="71" t="str">
        <f>IF(ISNUMBER(SEARCH(Invoice!$Q$14,C41)),N41,"")</f>
        <v/>
      </c>
      <c r="P41" s="74" t="str">
        <f>IFERROR(SMALL(O41:O508,ROWS($O$2:O41)),"")</f>
        <v/>
      </c>
    </row>
    <row r="42" spans="1:18" x14ac:dyDescent="0.3">
      <c r="A42" s="44"/>
      <c r="B42" s="45"/>
      <c r="C42" s="45"/>
      <c r="D42" s="45"/>
      <c r="E42" s="45"/>
      <c r="F42" s="45"/>
      <c r="G42" s="45"/>
      <c r="H42" s="64"/>
      <c r="I42" s="64"/>
      <c r="J42" s="64"/>
      <c r="K42" s="64"/>
      <c r="L42" s="45"/>
      <c r="M42" s="43"/>
      <c r="N42" s="71">
        <f>ROW()</f>
        <v>42</v>
      </c>
      <c r="O42" s="71" t="str">
        <f>IF(ISNUMBER(SEARCH(Invoice!$Q$14,C42)),N42,"")</f>
        <v/>
      </c>
      <c r="P42" s="74" t="str">
        <f>IFERROR(SMALL(O42:O509,ROWS($O$2:O42)),"")</f>
        <v/>
      </c>
      <c r="Q42" s="43"/>
      <c r="R42" s="43"/>
    </row>
    <row r="43" spans="1:18" x14ac:dyDescent="0.3">
      <c r="A43" s="39"/>
      <c r="B43" s="40"/>
      <c r="C43" s="40"/>
      <c r="D43" s="40"/>
      <c r="E43" s="40"/>
      <c r="F43" s="40"/>
      <c r="G43" s="40"/>
      <c r="H43" s="63"/>
      <c r="I43" s="63"/>
      <c r="J43" s="63"/>
      <c r="K43" s="63"/>
      <c r="L43" s="40"/>
      <c r="N43" s="71">
        <f>ROW()</f>
        <v>43</v>
      </c>
      <c r="O43" s="71" t="str">
        <f>IF(ISNUMBER(SEARCH(Invoice!$Q$14,C43)),N43,"")</f>
        <v/>
      </c>
      <c r="P43" s="74" t="str">
        <f>IFERROR(SMALL(O43:O510,ROWS($O$2:O43)),"")</f>
        <v/>
      </c>
    </row>
    <row r="44" spans="1:18" x14ac:dyDescent="0.3">
      <c r="A44" s="44"/>
      <c r="B44" s="45"/>
      <c r="C44" s="45"/>
      <c r="D44" s="45"/>
      <c r="E44" s="45"/>
      <c r="F44" s="45"/>
      <c r="G44" s="45"/>
      <c r="H44" s="64"/>
      <c r="I44" s="64"/>
      <c r="J44" s="64"/>
      <c r="K44" s="64"/>
      <c r="L44" s="45"/>
      <c r="M44" s="43"/>
      <c r="N44" s="71">
        <f>ROW()</f>
        <v>44</v>
      </c>
      <c r="O44" s="71" t="str">
        <f>IF(ISNUMBER(SEARCH(Invoice!$Q$14,C44)),N44,"")</f>
        <v/>
      </c>
      <c r="P44" s="74" t="str">
        <f>IFERROR(SMALL(O44:O511,ROWS($O$2:O44)),"")</f>
        <v/>
      </c>
      <c r="Q44" s="43"/>
      <c r="R44" s="43"/>
    </row>
    <row r="45" spans="1:18" x14ac:dyDescent="0.3">
      <c r="A45" s="39"/>
      <c r="B45" s="40"/>
      <c r="C45" s="40"/>
      <c r="D45" s="40"/>
      <c r="E45" s="40"/>
      <c r="F45" s="40"/>
      <c r="G45" s="40"/>
      <c r="H45" s="63"/>
      <c r="I45" s="63"/>
      <c r="J45" s="63"/>
      <c r="K45" s="63"/>
      <c r="L45" s="40"/>
      <c r="N45" s="71">
        <f>ROW()</f>
        <v>45</v>
      </c>
      <c r="O45" s="71" t="str">
        <f>IF(ISNUMBER(SEARCH(Invoice!$Q$14,C45)),N45,"")</f>
        <v/>
      </c>
      <c r="P45" s="74" t="str">
        <f>IFERROR(SMALL(O45:O512,ROWS($O$2:O45)),"")</f>
        <v/>
      </c>
    </row>
    <row r="46" spans="1:18" x14ac:dyDescent="0.3">
      <c r="A46" s="44"/>
      <c r="B46" s="45"/>
      <c r="C46" s="45"/>
      <c r="D46" s="45"/>
      <c r="E46" s="45"/>
      <c r="F46" s="45"/>
      <c r="G46" s="45"/>
      <c r="H46" s="64"/>
      <c r="I46" s="64"/>
      <c r="J46" s="64"/>
      <c r="K46" s="64"/>
      <c r="L46" s="45"/>
      <c r="M46" s="43"/>
      <c r="N46" s="71">
        <f>ROW()</f>
        <v>46</v>
      </c>
      <c r="O46" s="71" t="str">
        <f>IF(ISNUMBER(SEARCH(Invoice!$Q$14,C46)),N46,"")</f>
        <v/>
      </c>
      <c r="P46" s="74" t="str">
        <f>IFERROR(SMALL(O46:O513,ROWS($O$2:O46)),"")</f>
        <v/>
      </c>
      <c r="Q46" s="43"/>
      <c r="R46" s="43"/>
    </row>
    <row r="47" spans="1:18" x14ac:dyDescent="0.3">
      <c r="A47" s="39"/>
      <c r="B47" s="40"/>
      <c r="C47" s="40"/>
      <c r="D47" s="40"/>
      <c r="E47" s="40"/>
      <c r="F47" s="40"/>
      <c r="G47" s="40"/>
      <c r="H47" s="63"/>
      <c r="I47" s="63"/>
      <c r="J47" s="63"/>
      <c r="K47" s="63"/>
      <c r="L47" s="40"/>
      <c r="N47" s="71">
        <f>ROW()</f>
        <v>47</v>
      </c>
      <c r="O47" s="71" t="str">
        <f>IF(ISNUMBER(SEARCH(Invoice!$Q$14,C47)),N47,"")</f>
        <v/>
      </c>
      <c r="P47" s="74" t="str">
        <f>IFERROR(SMALL(O47:O514,ROWS($O$2:O47)),"")</f>
        <v/>
      </c>
    </row>
    <row r="48" spans="1:18" x14ac:dyDescent="0.3">
      <c r="A48" s="44"/>
      <c r="B48" s="45"/>
      <c r="C48" s="45"/>
      <c r="D48" s="45"/>
      <c r="E48" s="45"/>
      <c r="F48" s="45"/>
      <c r="G48" s="45"/>
      <c r="H48" s="64"/>
      <c r="I48" s="64"/>
      <c r="J48" s="64"/>
      <c r="K48" s="64"/>
      <c r="L48" s="45"/>
      <c r="M48" s="43"/>
      <c r="N48" s="71">
        <f>ROW()</f>
        <v>48</v>
      </c>
      <c r="O48" s="71" t="str">
        <f>IF(ISNUMBER(SEARCH(Invoice!$Q$14,C48)),N48,"")</f>
        <v/>
      </c>
      <c r="P48" s="74" t="str">
        <f>IFERROR(SMALL(O48:O515,ROWS($O$2:O48)),"")</f>
        <v/>
      </c>
      <c r="Q48" s="43"/>
      <c r="R48" s="43"/>
    </row>
    <row r="49" spans="1:18" x14ac:dyDescent="0.3">
      <c r="A49" s="39"/>
      <c r="B49" s="40"/>
      <c r="C49" s="40"/>
      <c r="D49" s="40"/>
      <c r="E49" s="40"/>
      <c r="F49" s="40"/>
      <c r="G49" s="40"/>
      <c r="H49" s="63"/>
      <c r="I49" s="63"/>
      <c r="J49" s="63"/>
      <c r="K49" s="63"/>
      <c r="L49" s="40"/>
      <c r="N49" s="71">
        <f>ROW()</f>
        <v>49</v>
      </c>
      <c r="O49" s="71" t="str">
        <f>IF(ISNUMBER(SEARCH(Invoice!$Q$14,C49)),N49,"")</f>
        <v/>
      </c>
      <c r="P49" s="74" t="str">
        <f>IFERROR(SMALL(O49:O516,ROWS($O$2:O49)),"")</f>
        <v/>
      </c>
    </row>
    <row r="50" spans="1:18" x14ac:dyDescent="0.3">
      <c r="A50" s="44"/>
      <c r="B50" s="45"/>
      <c r="C50" s="45"/>
      <c r="D50" s="45"/>
      <c r="E50" s="45"/>
      <c r="F50" s="45"/>
      <c r="G50" s="45"/>
      <c r="H50" s="64"/>
      <c r="I50" s="64"/>
      <c r="J50" s="64"/>
      <c r="K50" s="64"/>
      <c r="L50" s="45"/>
      <c r="M50" s="43"/>
      <c r="N50" s="71">
        <f>ROW()</f>
        <v>50</v>
      </c>
      <c r="O50" s="71" t="str">
        <f>IF(ISNUMBER(SEARCH(Invoice!$Q$14,C50)),N50,"")</f>
        <v/>
      </c>
      <c r="P50" s="74" t="str">
        <f>IFERROR(SMALL(O50:O517,ROWS($O$2:O50)),"")</f>
        <v/>
      </c>
      <c r="Q50" s="43"/>
      <c r="R50" s="43"/>
    </row>
    <row r="51" spans="1:18" x14ac:dyDescent="0.3">
      <c r="A51" s="39"/>
      <c r="B51" s="40"/>
      <c r="C51" s="40"/>
      <c r="D51" s="40"/>
      <c r="E51" s="40"/>
      <c r="F51" s="40"/>
      <c r="G51" s="40"/>
      <c r="H51" s="63"/>
      <c r="I51" s="63"/>
      <c r="J51" s="63"/>
      <c r="K51" s="63"/>
      <c r="L51" s="40"/>
      <c r="N51" s="71">
        <f>ROW()</f>
        <v>51</v>
      </c>
      <c r="O51" s="71" t="str">
        <f>IF(ISNUMBER(SEARCH(Invoice!$Q$14,C51)),N51,"")</f>
        <v/>
      </c>
      <c r="P51" s="74" t="str">
        <f>IFERROR(SMALL(O51:O518,ROWS($O$2:O51)),"")</f>
        <v/>
      </c>
    </row>
    <row r="52" spans="1:18" x14ac:dyDescent="0.3">
      <c r="A52" s="44"/>
      <c r="B52" s="45"/>
      <c r="C52" s="45"/>
      <c r="D52" s="45"/>
      <c r="E52" s="45"/>
      <c r="F52" s="45"/>
      <c r="G52" s="45"/>
      <c r="H52" s="64"/>
      <c r="I52" s="64"/>
      <c r="J52" s="64"/>
      <c r="K52" s="64"/>
      <c r="L52" s="45"/>
      <c r="M52" s="43"/>
      <c r="N52" s="71">
        <f>ROW()</f>
        <v>52</v>
      </c>
      <c r="O52" s="71" t="str">
        <f>IF(ISNUMBER(SEARCH(Invoice!$Q$14,C52)),N52,"")</f>
        <v/>
      </c>
      <c r="P52" s="74" t="str">
        <f>IFERROR(SMALL(O52:O519,ROWS($O$2:O52)),"")</f>
        <v/>
      </c>
      <c r="Q52" s="43"/>
      <c r="R52" s="43"/>
    </row>
    <row r="53" spans="1:18" x14ac:dyDescent="0.3">
      <c r="A53" s="39"/>
      <c r="B53" s="40"/>
      <c r="C53" s="40"/>
      <c r="D53" s="40"/>
      <c r="E53" s="40"/>
      <c r="F53" s="40"/>
      <c r="G53" s="40"/>
      <c r="H53" s="63"/>
      <c r="I53" s="63"/>
      <c r="J53" s="63"/>
      <c r="K53" s="63"/>
      <c r="L53" s="40"/>
      <c r="N53" s="71">
        <f>ROW()</f>
        <v>53</v>
      </c>
      <c r="O53" s="71" t="str">
        <f>IF(ISNUMBER(SEARCH(Invoice!$Q$14,C53)),N53,"")</f>
        <v/>
      </c>
      <c r="P53" s="74" t="str">
        <f>IFERROR(SMALL(O53:O520,ROWS($O$2:O53)),"")</f>
        <v/>
      </c>
    </row>
    <row r="54" spans="1:18" x14ac:dyDescent="0.3">
      <c r="A54" s="44"/>
      <c r="B54" s="45"/>
      <c r="C54" s="45"/>
      <c r="D54" s="45"/>
      <c r="E54" s="45"/>
      <c r="F54" s="45"/>
      <c r="G54" s="45"/>
      <c r="H54" s="64"/>
      <c r="I54" s="64"/>
      <c r="J54" s="64"/>
      <c r="K54" s="64"/>
      <c r="L54" s="45"/>
      <c r="M54" s="43"/>
      <c r="N54" s="71">
        <f>ROW()</f>
        <v>54</v>
      </c>
      <c r="O54" s="71" t="str">
        <f>IF(ISNUMBER(SEARCH(Invoice!$Q$14,C54)),N54,"")</f>
        <v/>
      </c>
      <c r="P54" s="74" t="str">
        <f>IFERROR(SMALL(O54:O521,ROWS($O$2:O54)),"")</f>
        <v/>
      </c>
      <c r="Q54" s="43"/>
      <c r="R54" s="43"/>
    </row>
    <row r="55" spans="1:18" x14ac:dyDescent="0.3">
      <c r="A55" s="39"/>
      <c r="B55" s="40"/>
      <c r="C55" s="40"/>
      <c r="D55" s="40"/>
      <c r="E55" s="40"/>
      <c r="F55" s="40"/>
      <c r="G55" s="40"/>
      <c r="H55" s="63"/>
      <c r="I55" s="63"/>
      <c r="J55" s="63"/>
      <c r="K55" s="63"/>
      <c r="L55" s="40"/>
      <c r="N55" s="71">
        <f>ROW()</f>
        <v>55</v>
      </c>
      <c r="O55" s="71" t="str">
        <f>IF(ISNUMBER(SEARCH(Invoice!$Q$14,C55)),N55,"")</f>
        <v/>
      </c>
      <c r="P55" s="74" t="str">
        <f>IFERROR(SMALL(O55:O522,ROWS($O$2:O55)),"")</f>
        <v/>
      </c>
    </row>
    <row r="56" spans="1:18" x14ac:dyDescent="0.3">
      <c r="A56" s="44"/>
      <c r="B56" s="45"/>
      <c r="C56" s="45"/>
      <c r="D56" s="45"/>
      <c r="E56" s="45"/>
      <c r="F56" s="45"/>
      <c r="G56" s="45"/>
      <c r="H56" s="64"/>
      <c r="I56" s="64"/>
      <c r="J56" s="64"/>
      <c r="K56" s="64"/>
      <c r="L56" s="45"/>
      <c r="M56" s="43"/>
      <c r="N56" s="71">
        <f>ROW()</f>
        <v>56</v>
      </c>
      <c r="O56" s="71" t="str">
        <f>IF(ISNUMBER(SEARCH(Invoice!$Q$14,C56)),N56,"")</f>
        <v/>
      </c>
      <c r="P56" s="74" t="str">
        <f>IFERROR(SMALL(O56:O523,ROWS($O$2:O56)),"")</f>
        <v/>
      </c>
      <c r="Q56" s="43"/>
      <c r="R56" s="43"/>
    </row>
    <row r="57" spans="1:18" x14ac:dyDescent="0.3">
      <c r="A57" s="39"/>
      <c r="B57" s="40"/>
      <c r="C57" s="40"/>
      <c r="D57" s="40"/>
      <c r="E57" s="40"/>
      <c r="F57" s="40"/>
      <c r="G57" s="40"/>
      <c r="H57" s="63"/>
      <c r="I57" s="63"/>
      <c r="J57" s="63"/>
      <c r="K57" s="63"/>
      <c r="L57" s="40"/>
      <c r="N57" s="71">
        <f>ROW()</f>
        <v>57</v>
      </c>
      <c r="O57" s="71" t="str">
        <f>IF(ISNUMBER(SEARCH(Invoice!$Q$14,C57)),N57,"")</f>
        <v/>
      </c>
      <c r="P57" s="74" t="str">
        <f>IFERROR(SMALL(O57:O524,ROWS($O$2:O57)),"")</f>
        <v/>
      </c>
    </row>
    <row r="58" spans="1:18" x14ac:dyDescent="0.3">
      <c r="A58" s="44"/>
      <c r="B58" s="45"/>
      <c r="C58" s="45"/>
      <c r="D58" s="45"/>
      <c r="E58" s="45"/>
      <c r="F58" s="45"/>
      <c r="G58" s="45"/>
      <c r="H58" s="64"/>
      <c r="I58" s="64"/>
      <c r="J58" s="64"/>
      <c r="K58" s="64"/>
      <c r="L58" s="45"/>
      <c r="M58" s="43"/>
      <c r="N58" s="71">
        <f>ROW()</f>
        <v>58</v>
      </c>
      <c r="O58" s="71" t="str">
        <f>IF(ISNUMBER(SEARCH(Invoice!$Q$14,C58)),N58,"")</f>
        <v/>
      </c>
      <c r="P58" s="74" t="str">
        <f>IFERROR(SMALL(O58:O525,ROWS($O$2:O58)),"")</f>
        <v/>
      </c>
      <c r="Q58" s="43"/>
      <c r="R58" s="43"/>
    </row>
    <row r="59" spans="1:18" x14ac:dyDescent="0.3">
      <c r="A59" s="39"/>
      <c r="B59" s="40"/>
      <c r="C59" s="40"/>
      <c r="D59" s="40"/>
      <c r="E59" s="40"/>
      <c r="F59" s="40"/>
      <c r="G59" s="40"/>
      <c r="H59" s="63"/>
      <c r="I59" s="63"/>
      <c r="J59" s="63"/>
      <c r="K59" s="63"/>
      <c r="L59" s="40"/>
      <c r="N59" s="71">
        <f>ROW()</f>
        <v>59</v>
      </c>
      <c r="O59" s="71" t="str">
        <f>IF(ISNUMBER(SEARCH(Invoice!$Q$14,C59)),N59,"")</f>
        <v/>
      </c>
      <c r="P59" s="74" t="str">
        <f>IFERROR(SMALL(O59:O526,ROWS($O$2:O59)),"")</f>
        <v/>
      </c>
    </row>
    <row r="60" spans="1:18" x14ac:dyDescent="0.3">
      <c r="A60" s="44"/>
      <c r="B60" s="45"/>
      <c r="C60" s="45"/>
      <c r="D60" s="45"/>
      <c r="E60" s="45"/>
      <c r="F60" s="45"/>
      <c r="G60" s="45"/>
      <c r="H60" s="64"/>
      <c r="I60" s="64"/>
      <c r="J60" s="64"/>
      <c r="K60" s="64"/>
      <c r="L60" s="45"/>
      <c r="M60" s="43"/>
      <c r="N60" s="71">
        <f>ROW()</f>
        <v>60</v>
      </c>
      <c r="O60" s="71" t="str">
        <f>IF(ISNUMBER(SEARCH(Invoice!$Q$14,C60)),N60,"")</f>
        <v/>
      </c>
      <c r="P60" s="74" t="str">
        <f>IFERROR(SMALL(O60:O527,ROWS($O$2:O60)),"")</f>
        <v/>
      </c>
      <c r="Q60" s="43"/>
      <c r="R60" s="43"/>
    </row>
    <row r="61" spans="1:18" x14ac:dyDescent="0.3">
      <c r="A61" s="39"/>
      <c r="B61" s="40"/>
      <c r="C61" s="40"/>
      <c r="D61" s="40"/>
      <c r="E61" s="40"/>
      <c r="F61" s="40"/>
      <c r="G61" s="40"/>
      <c r="H61" s="63"/>
      <c r="I61" s="63"/>
      <c r="J61" s="63"/>
      <c r="K61" s="63"/>
      <c r="L61" s="40"/>
      <c r="N61" s="71">
        <f>ROW()</f>
        <v>61</v>
      </c>
      <c r="O61" s="71" t="str">
        <f>IF(ISNUMBER(SEARCH(Invoice!$Q$14,C61)),N61,"")</f>
        <v/>
      </c>
      <c r="P61" s="74" t="str">
        <f>IFERROR(SMALL(O61:O528,ROWS($O$2:O61)),"")</f>
        <v/>
      </c>
    </row>
    <row r="62" spans="1:18" x14ac:dyDescent="0.3">
      <c r="A62" s="44"/>
      <c r="B62" s="45"/>
      <c r="C62" s="45"/>
      <c r="D62" s="45"/>
      <c r="E62" s="45"/>
      <c r="F62" s="45"/>
      <c r="G62" s="45"/>
      <c r="H62" s="64"/>
      <c r="I62" s="64"/>
      <c r="J62" s="64"/>
      <c r="K62" s="64"/>
      <c r="L62" s="45"/>
      <c r="M62" s="43"/>
      <c r="N62" s="71">
        <f>ROW()</f>
        <v>62</v>
      </c>
      <c r="O62" s="71" t="str">
        <f>IF(ISNUMBER(SEARCH(Invoice!$Q$14,C62)),N62,"")</f>
        <v/>
      </c>
      <c r="P62" s="74" t="str">
        <f>IFERROR(SMALL(O62:O529,ROWS($O$2:O62)),"")</f>
        <v/>
      </c>
      <c r="Q62" s="43"/>
      <c r="R62" s="43"/>
    </row>
    <row r="63" spans="1:18" x14ac:dyDescent="0.3">
      <c r="A63" s="39"/>
      <c r="B63" s="40"/>
      <c r="C63" s="40"/>
      <c r="D63" s="40"/>
      <c r="E63" s="40"/>
      <c r="F63" s="40"/>
      <c r="G63" s="40"/>
      <c r="H63" s="63"/>
      <c r="I63" s="63"/>
      <c r="J63" s="63"/>
      <c r="K63" s="63"/>
      <c r="L63" s="40"/>
      <c r="N63" s="71">
        <f>ROW()</f>
        <v>63</v>
      </c>
      <c r="O63" s="71" t="str">
        <f>IF(ISNUMBER(SEARCH(Invoice!$Q$14,C63)),N63,"")</f>
        <v/>
      </c>
      <c r="P63" s="74" t="str">
        <f>IFERROR(SMALL(O63:O530,ROWS($O$2:O63)),"")</f>
        <v/>
      </c>
    </row>
    <row r="64" spans="1:18" x14ac:dyDescent="0.3">
      <c r="A64" s="44"/>
      <c r="B64" s="45"/>
      <c r="C64" s="45"/>
      <c r="D64" s="45"/>
      <c r="E64" s="45"/>
      <c r="F64" s="45"/>
      <c r="G64" s="45"/>
      <c r="H64" s="64"/>
      <c r="I64" s="64"/>
      <c r="J64" s="64"/>
      <c r="K64" s="64"/>
      <c r="L64" s="45"/>
      <c r="M64" s="43"/>
      <c r="N64" s="71">
        <f>ROW()</f>
        <v>64</v>
      </c>
      <c r="O64" s="71" t="str">
        <f>IF(ISNUMBER(SEARCH(Invoice!$Q$14,C64)),N64,"")</f>
        <v/>
      </c>
      <c r="P64" s="74" t="str">
        <f>IFERROR(SMALL(O64:O531,ROWS($O$2:O64)),"")</f>
        <v/>
      </c>
      <c r="Q64" s="43"/>
      <c r="R64" s="43"/>
    </row>
    <row r="65" spans="1:18" x14ac:dyDescent="0.3">
      <c r="A65" s="39"/>
      <c r="B65" s="40"/>
      <c r="C65" s="40"/>
      <c r="D65" s="40"/>
      <c r="E65" s="40"/>
      <c r="F65" s="40"/>
      <c r="G65" s="40"/>
      <c r="H65" s="63"/>
      <c r="I65" s="63"/>
      <c r="J65" s="63"/>
      <c r="K65" s="63"/>
      <c r="L65" s="40"/>
      <c r="N65" s="71">
        <f>ROW()</f>
        <v>65</v>
      </c>
      <c r="O65" s="71" t="str">
        <f>IF(ISNUMBER(SEARCH(Invoice!$Q$14,C65)),N65,"")</f>
        <v/>
      </c>
      <c r="P65" s="74" t="str">
        <f>IFERROR(SMALL(O65:O532,ROWS($O$2:O65)),"")</f>
        <v/>
      </c>
    </row>
    <row r="66" spans="1:18" x14ac:dyDescent="0.3">
      <c r="A66" s="44"/>
      <c r="B66" s="45"/>
      <c r="C66" s="45"/>
      <c r="D66" s="45"/>
      <c r="E66" s="45"/>
      <c r="F66" s="45"/>
      <c r="G66" s="45"/>
      <c r="H66" s="64"/>
      <c r="I66" s="64"/>
      <c r="J66" s="64"/>
      <c r="K66" s="64"/>
      <c r="L66" s="45"/>
      <c r="M66" s="43"/>
      <c r="N66" s="71">
        <f>ROW()</f>
        <v>66</v>
      </c>
      <c r="O66" s="71" t="str">
        <f>IF(ISNUMBER(SEARCH(Invoice!$Q$14,C66)),N66,"")</f>
        <v/>
      </c>
      <c r="P66" s="74" t="str">
        <f>IFERROR(SMALL(O66:O533,ROWS($O$2:O66)),"")</f>
        <v/>
      </c>
      <c r="Q66" s="43"/>
      <c r="R66" s="43"/>
    </row>
    <row r="67" spans="1:18" x14ac:dyDescent="0.3">
      <c r="A67" s="39"/>
      <c r="B67" s="40"/>
      <c r="C67" s="40"/>
      <c r="D67" s="40"/>
      <c r="E67" s="40"/>
      <c r="F67" s="40"/>
      <c r="G67" s="40"/>
      <c r="H67" s="63"/>
      <c r="I67" s="63"/>
      <c r="J67" s="63"/>
      <c r="K67" s="63"/>
      <c r="L67" s="40"/>
      <c r="N67" s="71">
        <f>ROW()</f>
        <v>67</v>
      </c>
      <c r="O67" s="71" t="str">
        <f>IF(ISNUMBER(SEARCH(Invoice!$Q$14,C67)),N67,"")</f>
        <v/>
      </c>
      <c r="P67" s="74" t="str">
        <f>IFERROR(SMALL(O67:O534,ROWS($O$2:O67)),"")</f>
        <v/>
      </c>
    </row>
    <row r="68" spans="1:18" x14ac:dyDescent="0.3">
      <c r="A68" s="44"/>
      <c r="B68" s="45"/>
      <c r="C68" s="45"/>
      <c r="D68" s="45"/>
      <c r="E68" s="45"/>
      <c r="F68" s="45"/>
      <c r="G68" s="45"/>
      <c r="H68" s="64"/>
      <c r="I68" s="64"/>
      <c r="J68" s="64"/>
      <c r="K68" s="64"/>
      <c r="L68" s="45"/>
      <c r="M68" s="43"/>
      <c r="N68" s="71">
        <f>ROW()</f>
        <v>68</v>
      </c>
      <c r="O68" s="71" t="str">
        <f>IF(ISNUMBER(SEARCH(Invoice!$Q$14,C68)),N68,"")</f>
        <v/>
      </c>
      <c r="P68" s="74" t="str">
        <f>IFERROR(SMALL(O68:O535,ROWS($O$2:O68)),"")</f>
        <v/>
      </c>
      <c r="Q68" s="43"/>
      <c r="R68" s="43"/>
    </row>
    <row r="69" spans="1:18" x14ac:dyDescent="0.3">
      <c r="A69" s="39"/>
      <c r="B69" s="40"/>
      <c r="C69" s="40"/>
      <c r="D69" s="40"/>
      <c r="E69" s="40"/>
      <c r="F69" s="40"/>
      <c r="G69" s="40"/>
      <c r="H69" s="63"/>
      <c r="I69" s="63"/>
      <c r="J69" s="63"/>
      <c r="K69" s="63"/>
      <c r="L69" s="40"/>
      <c r="N69" s="71">
        <f>ROW()</f>
        <v>69</v>
      </c>
      <c r="O69" s="71" t="str">
        <f>IF(ISNUMBER(SEARCH(Invoice!$Q$14,C69)),N69,"")</f>
        <v/>
      </c>
      <c r="P69" s="74" t="str">
        <f>IFERROR(SMALL(O69:O536,ROWS($O$2:O69)),"")</f>
        <v/>
      </c>
    </row>
    <row r="70" spans="1:18" x14ac:dyDescent="0.3">
      <c r="A70" s="44"/>
      <c r="B70" s="45"/>
      <c r="C70" s="45"/>
      <c r="D70" s="45"/>
      <c r="E70" s="45"/>
      <c r="F70" s="45"/>
      <c r="G70" s="45"/>
      <c r="H70" s="64"/>
      <c r="I70" s="64"/>
      <c r="J70" s="64"/>
      <c r="K70" s="64"/>
      <c r="L70" s="45"/>
      <c r="M70" s="43"/>
      <c r="N70" s="71">
        <f>ROW()</f>
        <v>70</v>
      </c>
      <c r="O70" s="71" t="str">
        <f>IF(ISNUMBER(SEARCH(Invoice!$Q$14,C70)),N70,"")</f>
        <v/>
      </c>
      <c r="P70" s="74" t="str">
        <f>IFERROR(SMALL(O70:O537,ROWS($O$2:O70)),"")</f>
        <v/>
      </c>
      <c r="Q70" s="43"/>
      <c r="R70" s="43"/>
    </row>
    <row r="71" spans="1:18" x14ac:dyDescent="0.3">
      <c r="A71" s="39"/>
      <c r="B71" s="40"/>
      <c r="C71" s="40"/>
      <c r="D71" s="40"/>
      <c r="E71" s="40"/>
      <c r="F71" s="40"/>
      <c r="G71" s="40"/>
      <c r="H71" s="63"/>
      <c r="I71" s="63"/>
      <c r="J71" s="63"/>
      <c r="K71" s="63"/>
      <c r="L71" s="40"/>
      <c r="N71" s="71">
        <f>ROW()</f>
        <v>71</v>
      </c>
      <c r="O71" s="71" t="str">
        <f>IF(ISNUMBER(SEARCH(Invoice!$Q$14,C71)),N71,"")</f>
        <v/>
      </c>
      <c r="P71" s="74" t="str">
        <f>IFERROR(SMALL(O71:O538,ROWS($O$2:O71)),"")</f>
        <v/>
      </c>
    </row>
    <row r="72" spans="1:18" x14ac:dyDescent="0.3">
      <c r="A72" s="44"/>
      <c r="B72" s="45"/>
      <c r="C72" s="45"/>
      <c r="D72" s="45"/>
      <c r="E72" s="45"/>
      <c r="F72" s="45"/>
      <c r="G72" s="45"/>
      <c r="H72" s="64"/>
      <c r="I72" s="64"/>
      <c r="J72" s="64"/>
      <c r="K72" s="64"/>
      <c r="L72" s="45"/>
      <c r="M72" s="43"/>
      <c r="N72" s="71">
        <f>ROW()</f>
        <v>72</v>
      </c>
      <c r="O72" s="71" t="str">
        <f>IF(ISNUMBER(SEARCH(Invoice!$Q$14,C72)),N72,"")</f>
        <v/>
      </c>
      <c r="P72" s="74" t="str">
        <f>IFERROR(SMALL(O72:O539,ROWS($O$2:O72)),"")</f>
        <v/>
      </c>
      <c r="Q72" s="43"/>
      <c r="R72" s="43"/>
    </row>
    <row r="73" spans="1:18" x14ac:dyDescent="0.3">
      <c r="A73" s="39"/>
      <c r="B73" s="40"/>
      <c r="C73" s="40"/>
      <c r="D73" s="40"/>
      <c r="E73" s="40"/>
      <c r="F73" s="40"/>
      <c r="G73" s="40"/>
      <c r="H73" s="63"/>
      <c r="I73" s="63"/>
      <c r="J73" s="63"/>
      <c r="K73" s="63"/>
      <c r="L73" s="40"/>
      <c r="N73" s="71">
        <f>ROW()</f>
        <v>73</v>
      </c>
      <c r="O73" s="71" t="str">
        <f>IF(ISNUMBER(SEARCH(Invoice!$Q$14,C73)),N73,"")</f>
        <v/>
      </c>
      <c r="P73" s="74" t="str">
        <f>IFERROR(SMALL(O73:O540,ROWS($O$2:O73)),"")</f>
        <v/>
      </c>
    </row>
    <row r="74" spans="1:18" x14ac:dyDescent="0.3">
      <c r="A74" s="44"/>
      <c r="B74" s="45"/>
      <c r="C74" s="45"/>
      <c r="D74" s="45"/>
      <c r="E74" s="45"/>
      <c r="F74" s="45"/>
      <c r="G74" s="45"/>
      <c r="H74" s="64"/>
      <c r="I74" s="64"/>
      <c r="J74" s="64"/>
      <c r="K74" s="64"/>
      <c r="L74" s="45"/>
      <c r="M74" s="43"/>
      <c r="N74" s="71">
        <f>ROW()</f>
        <v>74</v>
      </c>
      <c r="O74" s="71" t="str">
        <f>IF(ISNUMBER(SEARCH(Invoice!$Q$14,C74)),N74,"")</f>
        <v/>
      </c>
      <c r="P74" s="74" t="str">
        <f>IFERROR(SMALL(O74:O541,ROWS($O$2:O74)),"")</f>
        <v/>
      </c>
      <c r="Q74" s="43"/>
      <c r="R74" s="43"/>
    </row>
    <row r="75" spans="1:18" x14ac:dyDescent="0.3">
      <c r="A75" s="39"/>
      <c r="B75" s="40"/>
      <c r="C75" s="40"/>
      <c r="D75" s="40"/>
      <c r="E75" s="40"/>
      <c r="F75" s="40"/>
      <c r="G75" s="40"/>
      <c r="H75" s="63"/>
      <c r="I75" s="63"/>
      <c r="J75" s="63"/>
      <c r="K75" s="63"/>
      <c r="L75" s="40"/>
      <c r="N75" s="71">
        <f>ROW()</f>
        <v>75</v>
      </c>
      <c r="O75" s="71" t="str">
        <f>IF(ISNUMBER(SEARCH(Invoice!$Q$14,C75)),N75,"")</f>
        <v/>
      </c>
      <c r="P75" s="74" t="str">
        <f>IFERROR(SMALL(O75:O542,ROWS($O$2:O75)),"")</f>
        <v/>
      </c>
    </row>
    <row r="76" spans="1:18" x14ac:dyDescent="0.3">
      <c r="A76" s="44"/>
      <c r="B76" s="45"/>
      <c r="C76" s="45"/>
      <c r="D76" s="45"/>
      <c r="E76" s="45"/>
      <c r="F76" s="45"/>
      <c r="G76" s="45"/>
      <c r="H76" s="64"/>
      <c r="I76" s="64"/>
      <c r="J76" s="64"/>
      <c r="K76" s="64"/>
      <c r="L76" s="45"/>
      <c r="M76" s="43"/>
      <c r="N76" s="71">
        <f>ROW()</f>
        <v>76</v>
      </c>
      <c r="O76" s="71" t="str">
        <f>IF(ISNUMBER(SEARCH(Invoice!$Q$14,C76)),N76,"")</f>
        <v/>
      </c>
      <c r="P76" s="74" t="str">
        <f>IFERROR(SMALL(O76:O543,ROWS($O$2:O76)),"")</f>
        <v/>
      </c>
      <c r="Q76" s="43"/>
      <c r="R76" s="43"/>
    </row>
    <row r="77" spans="1:18" x14ac:dyDescent="0.3">
      <c r="A77" s="39"/>
      <c r="B77" s="40"/>
      <c r="C77" s="40"/>
      <c r="D77" s="40"/>
      <c r="E77" s="40"/>
      <c r="F77" s="40"/>
      <c r="G77" s="40"/>
      <c r="H77" s="63"/>
      <c r="I77" s="63"/>
      <c r="J77" s="63"/>
      <c r="K77" s="63"/>
      <c r="L77" s="40"/>
      <c r="N77" s="71">
        <f>ROW()</f>
        <v>77</v>
      </c>
      <c r="O77" s="71" t="str">
        <f>IF(ISNUMBER(SEARCH(Invoice!$Q$14,C77)),N77,"")</f>
        <v/>
      </c>
      <c r="P77" s="74" t="str">
        <f>IFERROR(SMALL(O77:O544,ROWS($O$2:O77)),"")</f>
        <v/>
      </c>
    </row>
    <row r="78" spans="1:18" x14ac:dyDescent="0.3">
      <c r="A78" s="44"/>
      <c r="B78" s="45"/>
      <c r="C78" s="45"/>
      <c r="D78" s="45"/>
      <c r="E78" s="45"/>
      <c r="F78" s="45"/>
      <c r="G78" s="45"/>
      <c r="H78" s="64"/>
      <c r="I78" s="64"/>
      <c r="J78" s="64"/>
      <c r="K78" s="64"/>
      <c r="L78" s="45"/>
      <c r="M78" s="43"/>
      <c r="N78" s="71">
        <f>ROW()</f>
        <v>78</v>
      </c>
      <c r="O78" s="71" t="str">
        <f>IF(ISNUMBER(SEARCH(Invoice!$Q$14,C78)),N78,"")</f>
        <v/>
      </c>
      <c r="P78" s="74" t="str">
        <f>IFERROR(SMALL(O78:O545,ROWS($O$2:O78)),"")</f>
        <v/>
      </c>
      <c r="Q78" s="43"/>
      <c r="R78" s="43"/>
    </row>
    <row r="79" spans="1:18" x14ac:dyDescent="0.3">
      <c r="A79" s="39"/>
      <c r="B79" s="40"/>
      <c r="C79" s="40"/>
      <c r="D79" s="40"/>
      <c r="E79" s="40"/>
      <c r="F79" s="40"/>
      <c r="G79" s="40"/>
      <c r="H79" s="63"/>
      <c r="I79" s="63"/>
      <c r="J79" s="63"/>
      <c r="K79" s="63"/>
      <c r="L79" s="40"/>
      <c r="N79" s="71">
        <f>ROW()</f>
        <v>79</v>
      </c>
      <c r="O79" s="71" t="str">
        <f>IF(ISNUMBER(SEARCH(Invoice!$Q$14,C79)),N79,"")</f>
        <v/>
      </c>
      <c r="P79" s="74" t="str">
        <f>IFERROR(SMALL(O79:O546,ROWS($O$2:O79)),"")</f>
        <v/>
      </c>
    </row>
    <row r="80" spans="1:18" x14ac:dyDescent="0.3">
      <c r="A80" s="44"/>
      <c r="B80" s="45"/>
      <c r="C80" s="45"/>
      <c r="D80" s="45"/>
      <c r="E80" s="45"/>
      <c r="F80" s="45"/>
      <c r="G80" s="45"/>
      <c r="H80" s="64"/>
      <c r="I80" s="64"/>
      <c r="J80" s="64"/>
      <c r="K80" s="64"/>
      <c r="L80" s="45"/>
      <c r="M80" s="43"/>
      <c r="N80" s="71">
        <f>ROW()</f>
        <v>80</v>
      </c>
      <c r="O80" s="71" t="str">
        <f>IF(ISNUMBER(SEARCH(Invoice!$Q$14,C80)),N80,"")</f>
        <v/>
      </c>
      <c r="P80" s="74" t="str">
        <f>IFERROR(SMALL(O80:O547,ROWS($O$2:O80)),"")</f>
        <v/>
      </c>
      <c r="Q80" s="43"/>
      <c r="R80" s="43"/>
    </row>
    <row r="81" spans="1:18" x14ac:dyDescent="0.3">
      <c r="A81" s="39"/>
      <c r="B81" s="40"/>
      <c r="C81" s="40"/>
      <c r="D81" s="40"/>
      <c r="E81" s="40"/>
      <c r="F81" s="40"/>
      <c r="G81" s="40"/>
      <c r="H81" s="63"/>
      <c r="I81" s="63"/>
      <c r="J81" s="63"/>
      <c r="K81" s="63"/>
      <c r="L81" s="40"/>
      <c r="N81" s="71">
        <f>ROW()</f>
        <v>81</v>
      </c>
      <c r="O81" s="71" t="str">
        <f>IF(ISNUMBER(SEARCH(Invoice!$Q$14,C81)),N81,"")</f>
        <v/>
      </c>
      <c r="P81" s="74" t="str">
        <f>IFERROR(SMALL(O81:O548,ROWS($O$2:O81)),"")</f>
        <v/>
      </c>
    </row>
    <row r="82" spans="1:18" x14ac:dyDescent="0.3">
      <c r="A82" s="44"/>
      <c r="B82" s="45"/>
      <c r="C82" s="45"/>
      <c r="D82" s="45"/>
      <c r="E82" s="45"/>
      <c r="F82" s="45"/>
      <c r="G82" s="45"/>
      <c r="H82" s="64"/>
      <c r="I82" s="64"/>
      <c r="J82" s="64"/>
      <c r="K82" s="64"/>
      <c r="L82" s="45"/>
      <c r="M82" s="43"/>
      <c r="N82" s="71">
        <f>ROW()</f>
        <v>82</v>
      </c>
      <c r="O82" s="71" t="str">
        <f>IF(ISNUMBER(SEARCH(Invoice!$Q$14,C82)),N82,"")</f>
        <v/>
      </c>
      <c r="P82" s="74" t="str">
        <f>IFERROR(SMALL(O82:O549,ROWS($O$2:O82)),"")</f>
        <v/>
      </c>
      <c r="Q82" s="43"/>
      <c r="R82" s="43"/>
    </row>
    <row r="83" spans="1:18" x14ac:dyDescent="0.3">
      <c r="A83" s="39"/>
      <c r="B83" s="40"/>
      <c r="C83" s="40"/>
      <c r="D83" s="40"/>
      <c r="E83" s="40"/>
      <c r="F83" s="40"/>
      <c r="G83" s="40"/>
      <c r="H83" s="63"/>
      <c r="I83" s="63"/>
      <c r="J83" s="63"/>
      <c r="K83" s="63"/>
      <c r="L83" s="40"/>
      <c r="N83" s="71">
        <f>ROW()</f>
        <v>83</v>
      </c>
      <c r="O83" s="71" t="str">
        <f>IF(ISNUMBER(SEARCH(Invoice!$Q$14,C83)),N83,"")</f>
        <v/>
      </c>
      <c r="P83" s="74" t="str">
        <f>IFERROR(SMALL(O83:O550,ROWS($O$2:O83)),"")</f>
        <v/>
      </c>
    </row>
    <row r="84" spans="1:18" x14ac:dyDescent="0.3">
      <c r="A84" s="44"/>
      <c r="B84" s="45"/>
      <c r="C84" s="45"/>
      <c r="D84" s="45"/>
      <c r="E84" s="45"/>
      <c r="F84" s="45"/>
      <c r="G84" s="45"/>
      <c r="H84" s="64"/>
      <c r="I84" s="64"/>
      <c r="J84" s="64"/>
      <c r="K84" s="64"/>
      <c r="L84" s="45"/>
      <c r="M84" s="43"/>
      <c r="N84" s="71">
        <f>ROW()</f>
        <v>84</v>
      </c>
      <c r="O84" s="71" t="str">
        <f>IF(ISNUMBER(SEARCH(Invoice!$Q$14,C84)),N84,"")</f>
        <v/>
      </c>
      <c r="P84" s="74" t="str">
        <f>IFERROR(SMALL(O84:O551,ROWS($O$2:O84)),"")</f>
        <v/>
      </c>
      <c r="Q84" s="43"/>
      <c r="R84" s="43"/>
    </row>
    <row r="85" spans="1:18" x14ac:dyDescent="0.3">
      <c r="A85" s="39"/>
      <c r="B85" s="40"/>
      <c r="C85" s="40"/>
      <c r="D85" s="40"/>
      <c r="E85" s="40"/>
      <c r="F85" s="40"/>
      <c r="G85" s="40"/>
      <c r="H85" s="63"/>
      <c r="I85" s="63"/>
      <c r="J85" s="63"/>
      <c r="K85" s="63"/>
      <c r="L85" s="40"/>
      <c r="N85" s="71">
        <f>ROW()</f>
        <v>85</v>
      </c>
      <c r="O85" s="71" t="str">
        <f>IF(ISNUMBER(SEARCH(Invoice!$Q$14,C85)),N85,"")</f>
        <v/>
      </c>
      <c r="P85" s="74" t="str">
        <f>IFERROR(SMALL(O85:O552,ROWS($O$2:O85)),"")</f>
        <v/>
      </c>
    </row>
    <row r="86" spans="1:18" x14ac:dyDescent="0.3">
      <c r="A86" s="44"/>
      <c r="B86" s="45"/>
      <c r="C86" s="45"/>
      <c r="D86" s="45"/>
      <c r="E86" s="45"/>
      <c r="F86" s="45"/>
      <c r="G86" s="45"/>
      <c r="H86" s="64"/>
      <c r="I86" s="64"/>
      <c r="J86" s="64"/>
      <c r="K86" s="64"/>
      <c r="L86" s="45"/>
      <c r="M86" s="43"/>
      <c r="N86" s="71">
        <f>ROW()</f>
        <v>86</v>
      </c>
      <c r="O86" s="71" t="str">
        <f>IF(ISNUMBER(SEARCH(Invoice!$Q$14,C86)),N86,"")</f>
        <v/>
      </c>
      <c r="P86" s="74" t="str">
        <f>IFERROR(SMALL(O86:O553,ROWS($O$2:O86)),"")</f>
        <v/>
      </c>
      <c r="Q86" s="43"/>
      <c r="R86" s="43"/>
    </row>
    <row r="87" spans="1:18" x14ac:dyDescent="0.3">
      <c r="A87" s="39"/>
      <c r="B87" s="40"/>
      <c r="C87" s="40"/>
      <c r="D87" s="40"/>
      <c r="E87" s="40"/>
      <c r="F87" s="40"/>
      <c r="G87" s="40"/>
      <c r="H87" s="63"/>
      <c r="I87" s="63"/>
      <c r="J87" s="63"/>
      <c r="K87" s="63"/>
      <c r="L87" s="40"/>
      <c r="N87" s="71">
        <f>ROW()</f>
        <v>87</v>
      </c>
      <c r="O87" s="71" t="str">
        <f>IF(ISNUMBER(SEARCH(Invoice!$Q$14,C87)),N87,"")</f>
        <v/>
      </c>
      <c r="P87" s="74" t="str">
        <f>IFERROR(SMALL(O87:O554,ROWS($O$2:O87)),"")</f>
        <v/>
      </c>
    </row>
    <row r="88" spans="1:18" x14ac:dyDescent="0.3">
      <c r="A88" s="44"/>
      <c r="B88" s="45"/>
      <c r="C88" s="45"/>
      <c r="D88" s="45"/>
      <c r="E88" s="45"/>
      <c r="F88" s="45"/>
      <c r="G88" s="45"/>
      <c r="H88" s="64"/>
      <c r="I88" s="64"/>
      <c r="J88" s="64"/>
      <c r="K88" s="64"/>
      <c r="L88" s="45"/>
      <c r="M88" s="43"/>
      <c r="N88" s="71">
        <f>ROW()</f>
        <v>88</v>
      </c>
      <c r="O88" s="71" t="str">
        <f>IF(ISNUMBER(SEARCH(Invoice!$Q$14,C88)),N88,"")</f>
        <v/>
      </c>
      <c r="P88" s="74" t="str">
        <f>IFERROR(SMALL(O88:O555,ROWS($O$2:O88)),"")</f>
        <v/>
      </c>
      <c r="Q88" s="43"/>
      <c r="R88" s="43"/>
    </row>
    <row r="89" spans="1:18" x14ac:dyDescent="0.3">
      <c r="A89" s="39"/>
      <c r="B89" s="40"/>
      <c r="C89" s="40"/>
      <c r="D89" s="40"/>
      <c r="E89" s="40"/>
      <c r="F89" s="40"/>
      <c r="G89" s="40"/>
      <c r="H89" s="63"/>
      <c r="I89" s="63"/>
      <c r="J89" s="63"/>
      <c r="K89" s="63"/>
      <c r="L89" s="40"/>
      <c r="N89" s="71">
        <f>ROW()</f>
        <v>89</v>
      </c>
      <c r="O89" s="71" t="str">
        <f>IF(ISNUMBER(SEARCH(Invoice!$Q$14,C89)),N89,"")</f>
        <v/>
      </c>
      <c r="P89" s="74" t="str">
        <f>IFERROR(SMALL(O89:O556,ROWS($O$2:O89)),"")</f>
        <v/>
      </c>
    </row>
    <row r="90" spans="1:18" x14ac:dyDescent="0.3">
      <c r="A90" s="44"/>
      <c r="B90" s="45"/>
      <c r="C90" s="45"/>
      <c r="D90" s="45"/>
      <c r="E90" s="45"/>
      <c r="F90" s="45"/>
      <c r="G90" s="45"/>
      <c r="H90" s="64"/>
      <c r="I90" s="64"/>
      <c r="J90" s="64"/>
      <c r="K90" s="64"/>
      <c r="L90" s="45"/>
      <c r="M90" s="43"/>
      <c r="N90" s="71">
        <f>ROW()</f>
        <v>90</v>
      </c>
      <c r="O90" s="71" t="str">
        <f>IF(ISNUMBER(SEARCH(Invoice!$Q$14,C90)),N90,"")</f>
        <v/>
      </c>
      <c r="P90" s="74" t="str">
        <f>IFERROR(SMALL(O90:O557,ROWS($O$2:O90)),"")</f>
        <v/>
      </c>
      <c r="Q90" s="43"/>
      <c r="R90" s="43"/>
    </row>
    <row r="91" spans="1:18" x14ac:dyDescent="0.3">
      <c r="A91" s="39"/>
      <c r="B91" s="40"/>
      <c r="C91" s="40"/>
      <c r="D91" s="40"/>
      <c r="E91" s="40"/>
      <c r="F91" s="40"/>
      <c r="G91" s="40"/>
      <c r="H91" s="63"/>
      <c r="I91" s="63"/>
      <c r="J91" s="63"/>
      <c r="K91" s="63"/>
      <c r="L91" s="40"/>
      <c r="N91" s="71">
        <f>ROW()</f>
        <v>91</v>
      </c>
      <c r="O91" s="71" t="str">
        <f>IF(ISNUMBER(SEARCH(Invoice!$Q$14,C91)),N91,"")</f>
        <v/>
      </c>
      <c r="P91" s="74" t="str">
        <f>IFERROR(SMALL(O91:O558,ROWS($O$2:O91)),"")</f>
        <v/>
      </c>
    </row>
    <row r="92" spans="1:18" x14ac:dyDescent="0.3">
      <c r="A92" s="44"/>
      <c r="B92" s="45"/>
      <c r="C92" s="45"/>
      <c r="D92" s="45"/>
      <c r="E92" s="45"/>
      <c r="F92" s="45"/>
      <c r="G92" s="45"/>
      <c r="H92" s="64"/>
      <c r="I92" s="64"/>
      <c r="J92" s="64"/>
      <c r="K92" s="64"/>
      <c r="L92" s="45"/>
      <c r="M92" s="43"/>
      <c r="N92" s="71">
        <f>ROW()</f>
        <v>92</v>
      </c>
      <c r="O92" s="71" t="str">
        <f>IF(ISNUMBER(SEARCH(Invoice!$Q$14,C92)),N92,"")</f>
        <v/>
      </c>
      <c r="P92" s="74" t="str">
        <f>IFERROR(SMALL(O92:O559,ROWS($O$2:O92)),"")</f>
        <v/>
      </c>
      <c r="Q92" s="43"/>
      <c r="R92" s="43"/>
    </row>
    <row r="93" spans="1:18" x14ac:dyDescent="0.3">
      <c r="A93" s="39"/>
      <c r="B93" s="40"/>
      <c r="C93" s="40"/>
      <c r="D93" s="40"/>
      <c r="E93" s="40"/>
      <c r="F93" s="40"/>
      <c r="G93" s="40"/>
      <c r="H93" s="63"/>
      <c r="I93" s="63"/>
      <c r="J93" s="63"/>
      <c r="K93" s="63"/>
      <c r="L93" s="40"/>
      <c r="N93" s="71">
        <f>ROW()</f>
        <v>93</v>
      </c>
      <c r="O93" s="71" t="str">
        <f>IF(ISNUMBER(SEARCH(Invoice!$Q$14,C93)),N93,"")</f>
        <v/>
      </c>
      <c r="P93" s="74" t="str">
        <f>IFERROR(SMALL(O93:O560,ROWS($O$2:O93)),"")</f>
        <v/>
      </c>
    </row>
    <row r="94" spans="1:18" x14ac:dyDescent="0.3">
      <c r="A94" s="44"/>
      <c r="B94" s="45"/>
      <c r="C94" s="45"/>
      <c r="D94" s="45"/>
      <c r="E94" s="45"/>
      <c r="F94" s="45"/>
      <c r="G94" s="45"/>
      <c r="H94" s="64"/>
      <c r="I94" s="64"/>
      <c r="J94" s="64"/>
      <c r="K94" s="64"/>
      <c r="L94" s="45"/>
      <c r="M94" s="43"/>
      <c r="N94" s="71">
        <f>ROW()</f>
        <v>94</v>
      </c>
      <c r="O94" s="71" t="str">
        <f>IF(ISNUMBER(SEARCH(Invoice!$Q$14,C94)),N94,"")</f>
        <v/>
      </c>
      <c r="P94" s="74" t="str">
        <f>IFERROR(SMALL(O94:O561,ROWS($O$2:O94)),"")</f>
        <v/>
      </c>
      <c r="Q94" s="43"/>
      <c r="R94" s="43"/>
    </row>
    <row r="95" spans="1:18" x14ac:dyDescent="0.3">
      <c r="A95" s="39"/>
      <c r="B95" s="40"/>
      <c r="C95" s="40"/>
      <c r="D95" s="40"/>
      <c r="E95" s="40"/>
      <c r="F95" s="40"/>
      <c r="G95" s="40"/>
      <c r="H95" s="63"/>
      <c r="I95" s="63"/>
      <c r="J95" s="63"/>
      <c r="K95" s="63"/>
      <c r="L95" s="40"/>
      <c r="N95" s="71">
        <f>ROW()</f>
        <v>95</v>
      </c>
      <c r="O95" s="71" t="str">
        <f>IF(ISNUMBER(SEARCH(Invoice!$Q$14,C95)),N95,"")</f>
        <v/>
      </c>
      <c r="P95" s="74" t="str">
        <f>IFERROR(SMALL(O95:O562,ROWS($O$2:O95)),"")</f>
        <v/>
      </c>
    </row>
    <row r="96" spans="1:18" x14ac:dyDescent="0.3">
      <c r="A96" s="44"/>
      <c r="B96" s="45"/>
      <c r="C96" s="45"/>
      <c r="D96" s="45"/>
      <c r="E96" s="45"/>
      <c r="F96" s="45"/>
      <c r="G96" s="45"/>
      <c r="H96" s="64"/>
      <c r="I96" s="64"/>
      <c r="J96" s="64"/>
      <c r="K96" s="64"/>
      <c r="L96" s="45"/>
      <c r="M96" s="43"/>
      <c r="N96" s="71">
        <f>ROW()</f>
        <v>96</v>
      </c>
      <c r="O96" s="71" t="str">
        <f>IF(ISNUMBER(SEARCH(Invoice!$Q$14,C96)),N96,"")</f>
        <v/>
      </c>
      <c r="P96" s="74" t="str">
        <f>IFERROR(SMALL(O96:O563,ROWS($O$2:O96)),"")</f>
        <v/>
      </c>
      <c r="Q96" s="43"/>
      <c r="R96" s="43"/>
    </row>
    <row r="97" spans="1:18" x14ac:dyDescent="0.3">
      <c r="A97" s="39"/>
      <c r="B97" s="40"/>
      <c r="C97" s="40"/>
      <c r="D97" s="40"/>
      <c r="E97" s="40"/>
      <c r="F97" s="40"/>
      <c r="G97" s="40"/>
      <c r="H97" s="63"/>
      <c r="I97" s="63"/>
      <c r="J97" s="63"/>
      <c r="K97" s="63"/>
      <c r="L97" s="40"/>
      <c r="N97" s="71">
        <f>ROW()</f>
        <v>97</v>
      </c>
      <c r="O97" s="71" t="str">
        <f>IF(ISNUMBER(SEARCH(Invoice!$Q$14,C97)),N97,"")</f>
        <v/>
      </c>
      <c r="P97" s="74" t="str">
        <f>IFERROR(SMALL(O97:O564,ROWS($O$2:O97)),"")</f>
        <v/>
      </c>
    </row>
    <row r="98" spans="1:18" x14ac:dyDescent="0.3">
      <c r="A98" s="44"/>
      <c r="B98" s="45"/>
      <c r="C98" s="45"/>
      <c r="D98" s="45"/>
      <c r="E98" s="45"/>
      <c r="F98" s="45"/>
      <c r="G98" s="45"/>
      <c r="H98" s="64"/>
      <c r="I98" s="64"/>
      <c r="J98" s="64"/>
      <c r="K98" s="64"/>
      <c r="L98" s="45"/>
      <c r="M98" s="43"/>
      <c r="N98" s="71">
        <f>ROW()</f>
        <v>98</v>
      </c>
      <c r="O98" s="71" t="str">
        <f>IF(ISNUMBER(SEARCH(Invoice!$Q$14,C98)),N98,"")</f>
        <v/>
      </c>
      <c r="P98" s="74" t="str">
        <f>IFERROR(SMALL(O98:O565,ROWS($O$2:O98)),"")</f>
        <v/>
      </c>
      <c r="Q98" s="43"/>
      <c r="R98" s="43"/>
    </row>
    <row r="99" spans="1:18" x14ac:dyDescent="0.3">
      <c r="A99" s="39"/>
      <c r="B99" s="40"/>
      <c r="C99" s="40"/>
      <c r="D99" s="40"/>
      <c r="E99" s="40"/>
      <c r="F99" s="40"/>
      <c r="G99" s="40"/>
      <c r="H99" s="63"/>
      <c r="I99" s="63"/>
      <c r="J99" s="63"/>
      <c r="K99" s="63"/>
      <c r="L99" s="40"/>
      <c r="N99" s="71">
        <f>ROW()</f>
        <v>99</v>
      </c>
      <c r="O99" s="71" t="str">
        <f>IF(ISNUMBER(SEARCH(Invoice!$Q$14,C99)),N99,"")</f>
        <v/>
      </c>
      <c r="P99" s="74" t="str">
        <f>IFERROR(SMALL(O99:O566,ROWS($O$2:O99)),"")</f>
        <v/>
      </c>
    </row>
    <row r="100" spans="1:18" x14ac:dyDescent="0.3">
      <c r="A100" s="44"/>
      <c r="B100" s="45"/>
      <c r="C100" s="45"/>
      <c r="D100" s="45"/>
      <c r="E100" s="45"/>
      <c r="F100" s="45"/>
      <c r="G100" s="45"/>
      <c r="H100" s="64"/>
      <c r="I100" s="64"/>
      <c r="J100" s="64"/>
      <c r="K100" s="64"/>
      <c r="L100" s="45"/>
      <c r="M100" s="43"/>
      <c r="N100" s="71">
        <f>ROW()</f>
        <v>100</v>
      </c>
      <c r="O100" s="71" t="str">
        <f>IF(ISNUMBER(SEARCH(Invoice!$Q$14,C100)),N100,"")</f>
        <v/>
      </c>
      <c r="P100" s="74" t="str">
        <f>IFERROR(SMALL(O100:O567,ROWS($O$2:O100)),"")</f>
        <v/>
      </c>
      <c r="Q100" s="43"/>
      <c r="R100" s="43"/>
    </row>
    <row r="101" spans="1:18" x14ac:dyDescent="0.3">
      <c r="A101" s="39"/>
      <c r="B101" s="40"/>
      <c r="C101" s="40"/>
      <c r="D101" s="40"/>
      <c r="E101" s="40"/>
      <c r="F101" s="40"/>
      <c r="G101" s="40"/>
      <c r="H101" s="63"/>
      <c r="I101" s="63"/>
      <c r="J101" s="63"/>
      <c r="K101" s="63"/>
      <c r="L101" s="40"/>
      <c r="N101" s="71">
        <f>ROW()</f>
        <v>101</v>
      </c>
      <c r="O101" s="71" t="str">
        <f>IF(ISNUMBER(SEARCH(Invoice!$Q$14,C101)),N101,"")</f>
        <v/>
      </c>
      <c r="P101" s="74" t="str">
        <f>IFERROR(SMALL(O101:O568,ROWS($O$2:O101)),"")</f>
        <v/>
      </c>
    </row>
    <row r="102" spans="1:18" x14ac:dyDescent="0.3">
      <c r="A102" s="44"/>
      <c r="B102" s="45"/>
      <c r="C102" s="45"/>
      <c r="D102" s="45"/>
      <c r="E102" s="45"/>
      <c r="F102" s="45"/>
      <c r="G102" s="45"/>
      <c r="H102" s="64"/>
      <c r="I102" s="64"/>
      <c r="J102" s="64"/>
      <c r="K102" s="64"/>
      <c r="L102" s="45"/>
      <c r="M102" s="43"/>
      <c r="N102" s="71">
        <f>ROW()</f>
        <v>102</v>
      </c>
      <c r="O102" s="71" t="str">
        <f>IF(ISNUMBER(SEARCH(Invoice!$Q$14,C102)),N102,"")</f>
        <v/>
      </c>
      <c r="P102" s="74" t="str">
        <f>IFERROR(SMALL(O102:O569,ROWS($O$2:O102)),"")</f>
        <v/>
      </c>
      <c r="Q102" s="43"/>
      <c r="R102" s="43"/>
    </row>
    <row r="103" spans="1:18" x14ac:dyDescent="0.3">
      <c r="A103" s="39"/>
      <c r="B103" s="40"/>
      <c r="C103" s="40"/>
      <c r="D103" s="40"/>
      <c r="E103" s="40"/>
      <c r="F103" s="40"/>
      <c r="G103" s="40"/>
      <c r="H103" s="63"/>
      <c r="I103" s="63"/>
      <c r="J103" s="63"/>
      <c r="K103" s="63"/>
      <c r="L103" s="40"/>
      <c r="N103" s="71">
        <f>ROW()</f>
        <v>103</v>
      </c>
      <c r="O103" s="71" t="str">
        <f>IF(ISNUMBER(SEARCH(Invoice!$Q$14,C103)),N103,"")</f>
        <v/>
      </c>
      <c r="P103" s="74" t="str">
        <f>IFERROR(SMALL(O103:O570,ROWS($O$2:O103)),"")</f>
        <v/>
      </c>
    </row>
    <row r="104" spans="1:18" x14ac:dyDescent="0.3">
      <c r="A104" s="44"/>
      <c r="B104" s="45"/>
      <c r="C104" s="45"/>
      <c r="D104" s="45"/>
      <c r="E104" s="45"/>
      <c r="F104" s="45"/>
      <c r="G104" s="45"/>
      <c r="H104" s="64"/>
      <c r="I104" s="64"/>
      <c r="J104" s="64"/>
      <c r="K104" s="64"/>
      <c r="L104" s="45"/>
      <c r="M104" s="43"/>
      <c r="N104" s="71">
        <f>ROW()</f>
        <v>104</v>
      </c>
      <c r="O104" s="71" t="str">
        <f>IF(ISNUMBER(SEARCH(Invoice!$Q$14,C104)),N104,"")</f>
        <v/>
      </c>
      <c r="P104" s="74" t="str">
        <f>IFERROR(SMALL(O104:O571,ROWS($O$2:O104)),"")</f>
        <v/>
      </c>
      <c r="Q104" s="43"/>
      <c r="R104" s="43"/>
    </row>
    <row r="105" spans="1:18" x14ac:dyDescent="0.3">
      <c r="A105" s="39"/>
      <c r="B105" s="40"/>
      <c r="C105" s="40"/>
      <c r="D105" s="40"/>
      <c r="E105" s="40"/>
      <c r="F105" s="40"/>
      <c r="G105" s="40"/>
      <c r="H105" s="63"/>
      <c r="I105" s="63"/>
      <c r="J105" s="63"/>
      <c r="K105" s="63"/>
      <c r="L105" s="40"/>
      <c r="N105" s="71">
        <f>ROW()</f>
        <v>105</v>
      </c>
      <c r="O105" s="71" t="str">
        <f>IF(ISNUMBER(SEARCH(Invoice!$Q$14,C105)),N105,"")</f>
        <v/>
      </c>
      <c r="P105" s="74" t="str">
        <f>IFERROR(SMALL(O105:O572,ROWS($O$2:O105)),"")</f>
        <v/>
      </c>
    </row>
    <row r="106" spans="1:18" x14ac:dyDescent="0.3">
      <c r="A106" s="44"/>
      <c r="B106" s="45"/>
      <c r="C106" s="45"/>
      <c r="D106" s="45"/>
      <c r="E106" s="45"/>
      <c r="F106" s="45"/>
      <c r="G106" s="45"/>
      <c r="H106" s="64"/>
      <c r="I106" s="64"/>
      <c r="J106" s="64"/>
      <c r="K106" s="64"/>
      <c r="L106" s="45"/>
      <c r="M106" s="43"/>
      <c r="N106" s="71">
        <f>ROW()</f>
        <v>106</v>
      </c>
      <c r="O106" s="71" t="str">
        <f>IF(ISNUMBER(SEARCH(Invoice!$Q$14,C106)),N106,"")</f>
        <v/>
      </c>
      <c r="P106" s="74" t="str">
        <f>IFERROR(SMALL(O106:O573,ROWS($O$2:O106)),"")</f>
        <v/>
      </c>
      <c r="Q106" s="43"/>
      <c r="R106" s="43"/>
    </row>
    <row r="107" spans="1:18" x14ac:dyDescent="0.3">
      <c r="A107" s="39"/>
      <c r="B107" s="40"/>
      <c r="C107" s="40"/>
      <c r="D107" s="40"/>
      <c r="E107" s="40"/>
      <c r="F107" s="40"/>
      <c r="G107" s="40"/>
      <c r="H107" s="63"/>
      <c r="I107" s="63"/>
      <c r="J107" s="63"/>
      <c r="K107" s="63"/>
      <c r="L107" s="40"/>
      <c r="N107" s="71">
        <f>ROW()</f>
        <v>107</v>
      </c>
      <c r="O107" s="71" t="str">
        <f>IF(ISNUMBER(SEARCH(Invoice!$Q$14,C107)),N107,"")</f>
        <v/>
      </c>
      <c r="P107" s="74" t="str">
        <f>IFERROR(SMALL(O107:O574,ROWS($O$2:O107)),"")</f>
        <v/>
      </c>
    </row>
    <row r="108" spans="1:18" x14ac:dyDescent="0.3">
      <c r="A108" s="44"/>
      <c r="B108" s="45"/>
      <c r="C108" s="45"/>
      <c r="D108" s="45"/>
      <c r="E108" s="45"/>
      <c r="F108" s="45"/>
      <c r="G108" s="45"/>
      <c r="H108" s="64"/>
      <c r="I108" s="64"/>
      <c r="J108" s="64"/>
      <c r="K108" s="64"/>
      <c r="L108" s="45"/>
      <c r="M108" s="43"/>
      <c r="N108" s="71">
        <f>ROW()</f>
        <v>108</v>
      </c>
      <c r="O108" s="71" t="str">
        <f>IF(ISNUMBER(SEARCH(Invoice!$Q$14,C108)),N108,"")</f>
        <v/>
      </c>
      <c r="P108" s="74" t="str">
        <f>IFERROR(SMALL(O108:O575,ROWS($O$2:O108)),"")</f>
        <v/>
      </c>
      <c r="Q108" s="43"/>
      <c r="R108" s="43"/>
    </row>
    <row r="109" spans="1:18" x14ac:dyDescent="0.3">
      <c r="A109" s="39"/>
      <c r="B109" s="40"/>
      <c r="C109" s="40"/>
      <c r="D109" s="40"/>
      <c r="E109" s="40"/>
      <c r="F109" s="40"/>
      <c r="G109" s="40"/>
      <c r="H109" s="63"/>
      <c r="I109" s="63"/>
      <c r="J109" s="63"/>
      <c r="K109" s="63"/>
      <c r="L109" s="40"/>
      <c r="N109" s="71">
        <f>ROW()</f>
        <v>109</v>
      </c>
      <c r="O109" s="71" t="str">
        <f>IF(ISNUMBER(SEARCH(Invoice!$Q$14,C109)),N109,"")</f>
        <v/>
      </c>
      <c r="P109" s="74" t="str">
        <f>IFERROR(SMALL(O109:O576,ROWS($O$2:O109)),"")</f>
        <v/>
      </c>
    </row>
    <row r="110" spans="1:18" x14ac:dyDescent="0.3">
      <c r="A110" s="44"/>
      <c r="B110" s="45"/>
      <c r="C110" s="45"/>
      <c r="D110" s="45"/>
      <c r="E110" s="45"/>
      <c r="F110" s="45"/>
      <c r="G110" s="45"/>
      <c r="H110" s="64"/>
      <c r="I110" s="64"/>
      <c r="J110" s="64"/>
      <c r="K110" s="64"/>
      <c r="L110" s="45"/>
      <c r="M110" s="43"/>
      <c r="N110" s="71">
        <f>ROW()</f>
        <v>110</v>
      </c>
      <c r="O110" s="71" t="str">
        <f>IF(ISNUMBER(SEARCH(Invoice!$Q$14,C110)),N110,"")</f>
        <v/>
      </c>
      <c r="P110" s="74" t="str">
        <f>IFERROR(SMALL(O110:O577,ROWS($O$2:O110)),"")</f>
        <v/>
      </c>
      <c r="Q110" s="43"/>
      <c r="R110" s="43"/>
    </row>
    <row r="111" spans="1:18" x14ac:dyDescent="0.3">
      <c r="A111" s="39"/>
      <c r="B111" s="40"/>
      <c r="C111" s="40"/>
      <c r="D111" s="40"/>
      <c r="E111" s="40"/>
      <c r="F111" s="40"/>
      <c r="G111" s="40"/>
      <c r="H111" s="63"/>
      <c r="I111" s="63"/>
      <c r="J111" s="63"/>
      <c r="K111" s="63"/>
      <c r="L111" s="40"/>
      <c r="N111" s="71">
        <f>ROW()</f>
        <v>111</v>
      </c>
      <c r="O111" s="71" t="str">
        <f>IF(ISNUMBER(SEARCH(Invoice!$Q$14,C111)),N111,"")</f>
        <v/>
      </c>
      <c r="P111" s="74" t="str">
        <f>IFERROR(SMALL(O111:O578,ROWS($O$2:O111)),"")</f>
        <v/>
      </c>
    </row>
    <row r="112" spans="1:18" x14ac:dyDescent="0.3">
      <c r="A112" s="44"/>
      <c r="B112" s="45"/>
      <c r="C112" s="45"/>
      <c r="D112" s="45"/>
      <c r="E112" s="45"/>
      <c r="F112" s="45"/>
      <c r="G112" s="45"/>
      <c r="H112" s="64"/>
      <c r="I112" s="64"/>
      <c r="J112" s="64"/>
      <c r="K112" s="64"/>
      <c r="L112" s="45"/>
      <c r="M112" s="43"/>
      <c r="N112" s="71">
        <f>ROW()</f>
        <v>112</v>
      </c>
      <c r="O112" s="71" t="str">
        <f>IF(ISNUMBER(SEARCH(Invoice!$Q$14,C112)),N112,"")</f>
        <v/>
      </c>
      <c r="P112" s="74" t="str">
        <f>IFERROR(SMALL(O112:O579,ROWS($O$2:O112)),"")</f>
        <v/>
      </c>
      <c r="Q112" s="43"/>
      <c r="R112" s="43"/>
    </row>
    <row r="113" spans="1:18" x14ac:dyDescent="0.3">
      <c r="A113" s="39"/>
      <c r="B113" s="40"/>
      <c r="C113" s="40"/>
      <c r="D113" s="40"/>
      <c r="E113" s="40"/>
      <c r="F113" s="40"/>
      <c r="G113" s="40"/>
      <c r="H113" s="63"/>
      <c r="I113" s="63"/>
      <c r="J113" s="63"/>
      <c r="K113" s="63"/>
      <c r="L113" s="40"/>
      <c r="N113" s="71">
        <f>ROW()</f>
        <v>113</v>
      </c>
      <c r="O113" s="71" t="str">
        <f>IF(ISNUMBER(SEARCH(Invoice!$Q$14,C113)),N113,"")</f>
        <v/>
      </c>
      <c r="P113" s="74" t="str">
        <f>IFERROR(SMALL(O113:O580,ROWS($O$2:O113)),"")</f>
        <v/>
      </c>
    </row>
    <row r="114" spans="1:18" x14ac:dyDescent="0.3">
      <c r="A114" s="44"/>
      <c r="B114" s="45"/>
      <c r="C114" s="45"/>
      <c r="D114" s="45"/>
      <c r="E114" s="45"/>
      <c r="F114" s="45"/>
      <c r="G114" s="45"/>
      <c r="H114" s="64"/>
      <c r="I114" s="64"/>
      <c r="J114" s="64"/>
      <c r="K114" s="64"/>
      <c r="L114" s="45"/>
      <c r="M114" s="43"/>
      <c r="N114" s="71">
        <f>ROW()</f>
        <v>114</v>
      </c>
      <c r="O114" s="71" t="str">
        <f>IF(ISNUMBER(SEARCH(Invoice!$Q$14,C114)),N114,"")</f>
        <v/>
      </c>
      <c r="P114" s="74" t="str">
        <f>IFERROR(SMALL(O114:O581,ROWS($O$2:O114)),"")</f>
        <v/>
      </c>
      <c r="Q114" s="43"/>
      <c r="R114" s="43"/>
    </row>
    <row r="115" spans="1:18" x14ac:dyDescent="0.3">
      <c r="A115" s="39"/>
      <c r="B115" s="40"/>
      <c r="C115" s="40"/>
      <c r="D115" s="40"/>
      <c r="E115" s="40"/>
      <c r="F115" s="40"/>
      <c r="G115" s="40"/>
      <c r="H115" s="63"/>
      <c r="I115" s="63"/>
      <c r="J115" s="63"/>
      <c r="K115" s="63"/>
      <c r="L115" s="40"/>
      <c r="N115" s="71">
        <f>ROW()</f>
        <v>115</v>
      </c>
      <c r="O115" s="71" t="str">
        <f>IF(ISNUMBER(SEARCH(Invoice!$Q$14,C115)),N115,"")</f>
        <v/>
      </c>
      <c r="P115" s="74" t="str">
        <f>IFERROR(SMALL(O115:O582,ROWS($O$2:O115)),"")</f>
        <v/>
      </c>
    </row>
    <row r="116" spans="1:18" x14ac:dyDescent="0.3">
      <c r="A116" s="44"/>
      <c r="B116" s="45"/>
      <c r="C116" s="45"/>
      <c r="D116" s="45"/>
      <c r="E116" s="45"/>
      <c r="F116" s="45"/>
      <c r="G116" s="45"/>
      <c r="H116" s="64"/>
      <c r="I116" s="64"/>
      <c r="J116" s="64"/>
      <c r="K116" s="64"/>
      <c r="L116" s="45"/>
      <c r="M116" s="43"/>
      <c r="N116" s="71">
        <f>ROW()</f>
        <v>116</v>
      </c>
      <c r="O116" s="71" t="str">
        <f>IF(ISNUMBER(SEARCH(Invoice!$Q$14,C116)),N116,"")</f>
        <v/>
      </c>
      <c r="P116" s="74" t="str">
        <f>IFERROR(SMALL(O116:O583,ROWS($O$2:O116)),"")</f>
        <v/>
      </c>
      <c r="Q116" s="43"/>
      <c r="R116" s="43"/>
    </row>
    <row r="117" spans="1:18" x14ac:dyDescent="0.3">
      <c r="A117" s="39"/>
      <c r="B117" s="40"/>
      <c r="C117" s="40"/>
      <c r="D117" s="40"/>
      <c r="E117" s="40"/>
      <c r="F117" s="40"/>
      <c r="G117" s="40"/>
      <c r="H117" s="63"/>
      <c r="I117" s="63"/>
      <c r="J117" s="63"/>
      <c r="K117" s="63"/>
      <c r="L117" s="40"/>
      <c r="N117" s="71">
        <f>ROW()</f>
        <v>117</v>
      </c>
      <c r="O117" s="71" t="str">
        <f>IF(ISNUMBER(SEARCH(Invoice!$Q$14,C117)),N117,"")</f>
        <v/>
      </c>
      <c r="P117" s="74" t="str">
        <f>IFERROR(SMALL(O117:O584,ROWS($O$2:O117)),"")</f>
        <v/>
      </c>
    </row>
    <row r="118" spans="1:18" x14ac:dyDescent="0.3">
      <c r="A118" s="44"/>
      <c r="B118" s="45"/>
      <c r="C118" s="45"/>
      <c r="D118" s="45"/>
      <c r="E118" s="45"/>
      <c r="F118" s="45"/>
      <c r="G118" s="45"/>
      <c r="H118" s="64"/>
      <c r="I118" s="64"/>
      <c r="J118" s="64"/>
      <c r="K118" s="64"/>
      <c r="L118" s="45"/>
      <c r="M118" s="43"/>
      <c r="N118" s="71">
        <f>ROW()</f>
        <v>118</v>
      </c>
      <c r="O118" s="71" t="str">
        <f>IF(ISNUMBER(SEARCH(Invoice!$Q$14,C118)),N118,"")</f>
        <v/>
      </c>
      <c r="P118" s="74" t="str">
        <f>IFERROR(SMALL(O118:O585,ROWS($O$2:O118)),"")</f>
        <v/>
      </c>
      <c r="Q118" s="43"/>
      <c r="R118" s="43"/>
    </row>
    <row r="119" spans="1:18" x14ac:dyDescent="0.3">
      <c r="A119" s="39"/>
      <c r="B119" s="40"/>
      <c r="C119" s="40"/>
      <c r="D119" s="40"/>
      <c r="E119" s="40"/>
      <c r="F119" s="40"/>
      <c r="G119" s="40"/>
      <c r="H119" s="63"/>
      <c r="I119" s="63"/>
      <c r="J119" s="63"/>
      <c r="K119" s="63"/>
      <c r="L119" s="40"/>
      <c r="N119" s="71">
        <f>ROW()</f>
        <v>119</v>
      </c>
      <c r="O119" s="71" t="str">
        <f>IF(ISNUMBER(SEARCH(Invoice!$Q$14,C119)),N119,"")</f>
        <v/>
      </c>
      <c r="P119" s="74" t="str">
        <f>IFERROR(SMALL(O119:O586,ROWS($O$2:O119)),"")</f>
        <v/>
      </c>
    </row>
    <row r="120" spans="1:18" x14ac:dyDescent="0.3">
      <c r="A120" s="44"/>
      <c r="B120" s="45"/>
      <c r="C120" s="45"/>
      <c r="D120" s="45"/>
      <c r="E120" s="45"/>
      <c r="F120" s="45"/>
      <c r="G120" s="45"/>
      <c r="H120" s="64"/>
      <c r="I120" s="64"/>
      <c r="J120" s="64"/>
      <c r="K120" s="64"/>
      <c r="L120" s="45"/>
      <c r="M120" s="43"/>
      <c r="N120" s="71">
        <f>ROW()</f>
        <v>120</v>
      </c>
      <c r="O120" s="71" t="str">
        <f>IF(ISNUMBER(SEARCH(Invoice!$Q$14,C120)),N120,"")</f>
        <v/>
      </c>
      <c r="P120" s="74" t="str">
        <f>IFERROR(SMALL(O120:O587,ROWS($O$2:O120)),"")</f>
        <v/>
      </c>
      <c r="Q120" s="43"/>
      <c r="R120" s="43"/>
    </row>
    <row r="121" spans="1:18" x14ac:dyDescent="0.3">
      <c r="A121" s="39"/>
      <c r="B121" s="40"/>
      <c r="C121" s="40"/>
      <c r="D121" s="40"/>
      <c r="E121" s="40"/>
      <c r="F121" s="40"/>
      <c r="G121" s="40"/>
      <c r="H121" s="63"/>
      <c r="I121" s="63"/>
      <c r="J121" s="63"/>
      <c r="K121" s="63"/>
      <c r="L121" s="40"/>
      <c r="N121" s="71">
        <f>ROW()</f>
        <v>121</v>
      </c>
      <c r="O121" s="71" t="str">
        <f>IF(ISNUMBER(SEARCH(Invoice!$Q$14,C121)),N121,"")</f>
        <v/>
      </c>
      <c r="P121" s="74" t="str">
        <f>IFERROR(SMALL(O121:O588,ROWS($O$2:O121)),"")</f>
        <v/>
      </c>
    </row>
    <row r="122" spans="1:18" x14ac:dyDescent="0.3">
      <c r="A122" s="44"/>
      <c r="B122" s="45"/>
      <c r="C122" s="45"/>
      <c r="D122" s="45"/>
      <c r="E122" s="45"/>
      <c r="F122" s="45"/>
      <c r="G122" s="45"/>
      <c r="H122" s="64"/>
      <c r="I122" s="64"/>
      <c r="J122" s="64"/>
      <c r="K122" s="64"/>
      <c r="L122" s="45"/>
      <c r="M122" s="43"/>
      <c r="N122" s="71">
        <f>ROW()</f>
        <v>122</v>
      </c>
      <c r="O122" s="71" t="str">
        <f>IF(ISNUMBER(SEARCH(Invoice!$Q$14,C122)),N122,"")</f>
        <v/>
      </c>
      <c r="P122" s="74" t="str">
        <f>IFERROR(SMALL(O122:O589,ROWS($O$2:O122)),"")</f>
        <v/>
      </c>
      <c r="Q122" s="43"/>
      <c r="R122" s="43"/>
    </row>
    <row r="123" spans="1:18" x14ac:dyDescent="0.3">
      <c r="A123" s="39"/>
      <c r="B123" s="40"/>
      <c r="C123" s="40"/>
      <c r="D123" s="40"/>
      <c r="E123" s="40"/>
      <c r="F123" s="40"/>
      <c r="G123" s="40"/>
      <c r="H123" s="63"/>
      <c r="I123" s="63"/>
      <c r="J123" s="63"/>
      <c r="K123" s="63"/>
      <c r="L123" s="40"/>
      <c r="N123" s="71">
        <f>ROW()</f>
        <v>123</v>
      </c>
      <c r="O123" s="71" t="str">
        <f>IF(ISNUMBER(SEARCH(Invoice!$Q$14,C123)),N123,"")</f>
        <v/>
      </c>
      <c r="P123" s="74" t="str">
        <f>IFERROR(SMALL(O123:O590,ROWS($O$2:O123)),"")</f>
        <v/>
      </c>
    </row>
    <row r="124" spans="1:18" x14ac:dyDescent="0.3">
      <c r="A124" s="44"/>
      <c r="B124" s="45"/>
      <c r="C124" s="45"/>
      <c r="D124" s="45"/>
      <c r="E124" s="45"/>
      <c r="F124" s="45"/>
      <c r="G124" s="45"/>
      <c r="H124" s="64"/>
      <c r="I124" s="64"/>
      <c r="J124" s="64"/>
      <c r="K124" s="64"/>
      <c r="L124" s="45"/>
      <c r="M124" s="43"/>
      <c r="N124" s="71">
        <f>ROW()</f>
        <v>124</v>
      </c>
      <c r="O124" s="71" t="str">
        <f>IF(ISNUMBER(SEARCH(Invoice!$Q$14,C124)),N124,"")</f>
        <v/>
      </c>
      <c r="P124" s="74" t="str">
        <f>IFERROR(SMALL(O124:O591,ROWS($O$2:O124)),"")</f>
        <v/>
      </c>
      <c r="Q124" s="43"/>
      <c r="R124" s="43"/>
    </row>
    <row r="125" spans="1:18" x14ac:dyDescent="0.3">
      <c r="A125" s="39"/>
      <c r="B125" s="40"/>
      <c r="C125" s="40"/>
      <c r="D125" s="40"/>
      <c r="E125" s="40"/>
      <c r="F125" s="40"/>
      <c r="G125" s="40"/>
      <c r="H125" s="63"/>
      <c r="I125" s="63"/>
      <c r="J125" s="63"/>
      <c r="K125" s="63"/>
      <c r="L125" s="40"/>
      <c r="N125" s="71">
        <f>ROW()</f>
        <v>125</v>
      </c>
      <c r="O125" s="71" t="str">
        <f>IF(ISNUMBER(SEARCH(Invoice!$Q$14,C125)),N125,"")</f>
        <v/>
      </c>
      <c r="P125" s="74" t="str">
        <f>IFERROR(SMALL(O125:O592,ROWS($O$2:O125)),"")</f>
        <v/>
      </c>
    </row>
    <row r="126" spans="1:18" x14ac:dyDescent="0.3">
      <c r="A126" s="44"/>
      <c r="B126" s="45"/>
      <c r="C126" s="45"/>
      <c r="D126" s="45"/>
      <c r="E126" s="45"/>
      <c r="F126" s="45"/>
      <c r="G126" s="45"/>
      <c r="H126" s="64"/>
      <c r="I126" s="64"/>
      <c r="J126" s="64"/>
      <c r="K126" s="64"/>
      <c r="L126" s="45"/>
      <c r="M126" s="43"/>
      <c r="N126" s="71">
        <f>ROW()</f>
        <v>126</v>
      </c>
      <c r="O126" s="71" t="str">
        <f>IF(ISNUMBER(SEARCH(Invoice!$Q$14,C126)),N126,"")</f>
        <v/>
      </c>
      <c r="P126" s="74" t="str">
        <f>IFERROR(SMALL(O126:O593,ROWS($O$2:O126)),"")</f>
        <v/>
      </c>
      <c r="Q126" s="43"/>
      <c r="R126" s="43"/>
    </row>
    <row r="127" spans="1:18" x14ac:dyDescent="0.3">
      <c r="A127" s="39"/>
      <c r="B127" s="40"/>
      <c r="C127" s="40"/>
      <c r="D127" s="40"/>
      <c r="E127" s="40"/>
      <c r="F127" s="40"/>
      <c r="G127" s="40"/>
      <c r="H127" s="63"/>
      <c r="I127" s="63"/>
      <c r="J127" s="63"/>
      <c r="K127" s="63"/>
      <c r="L127" s="40"/>
      <c r="N127" s="71">
        <f>ROW()</f>
        <v>127</v>
      </c>
      <c r="O127" s="71" t="str">
        <f>IF(ISNUMBER(SEARCH(Invoice!$Q$14,C127)),N127,"")</f>
        <v/>
      </c>
      <c r="P127" s="74" t="str">
        <f>IFERROR(SMALL(O127:O594,ROWS($O$2:O127)),"")</f>
        <v/>
      </c>
    </row>
    <row r="128" spans="1:18" x14ac:dyDescent="0.3">
      <c r="A128" s="44"/>
      <c r="B128" s="45"/>
      <c r="C128" s="45"/>
      <c r="D128" s="45"/>
      <c r="E128" s="45"/>
      <c r="F128" s="45"/>
      <c r="G128" s="45"/>
      <c r="H128" s="64"/>
      <c r="I128" s="64"/>
      <c r="J128" s="64"/>
      <c r="K128" s="64"/>
      <c r="L128" s="45"/>
      <c r="M128" s="43"/>
      <c r="N128" s="71">
        <f>ROW()</f>
        <v>128</v>
      </c>
      <c r="O128" s="71" t="str">
        <f>IF(ISNUMBER(SEARCH(Invoice!$Q$14,C128)),N128,"")</f>
        <v/>
      </c>
      <c r="P128" s="74" t="str">
        <f>IFERROR(SMALL(O128:O595,ROWS($O$2:O128)),"")</f>
        <v/>
      </c>
      <c r="Q128" s="43"/>
      <c r="R128" s="43"/>
    </row>
    <row r="129" spans="1:18" x14ac:dyDescent="0.3">
      <c r="A129" s="39"/>
      <c r="B129" s="40"/>
      <c r="C129" s="40"/>
      <c r="D129" s="40"/>
      <c r="E129" s="40"/>
      <c r="F129" s="40"/>
      <c r="G129" s="40"/>
      <c r="H129" s="63"/>
      <c r="I129" s="63"/>
      <c r="J129" s="63"/>
      <c r="K129" s="63"/>
      <c r="L129" s="40"/>
      <c r="N129" s="71">
        <f>ROW()</f>
        <v>129</v>
      </c>
      <c r="O129" s="71" t="str">
        <f>IF(ISNUMBER(SEARCH(Invoice!$Q$14,C129)),N129,"")</f>
        <v/>
      </c>
      <c r="P129" s="74" t="str">
        <f>IFERROR(SMALL(O129:O596,ROWS($O$2:O129)),"")</f>
        <v/>
      </c>
    </row>
    <row r="130" spans="1:18" x14ac:dyDescent="0.3">
      <c r="A130" s="44"/>
      <c r="B130" s="45"/>
      <c r="C130" s="45"/>
      <c r="D130" s="45"/>
      <c r="E130" s="45"/>
      <c r="F130" s="45"/>
      <c r="G130" s="45"/>
      <c r="H130" s="64"/>
      <c r="I130" s="64"/>
      <c r="J130" s="64"/>
      <c r="K130" s="64"/>
      <c r="L130" s="45"/>
      <c r="M130" s="43"/>
      <c r="N130" s="71">
        <f>ROW()</f>
        <v>130</v>
      </c>
      <c r="O130" s="71" t="str">
        <f>IF(ISNUMBER(SEARCH(Invoice!$Q$14,C130)),N130,"")</f>
        <v/>
      </c>
      <c r="P130" s="74" t="str">
        <f>IFERROR(SMALL(O130:O597,ROWS($O$2:O130)),"")</f>
        <v/>
      </c>
      <c r="Q130" s="43"/>
      <c r="R130" s="43"/>
    </row>
    <row r="131" spans="1:18" x14ac:dyDescent="0.3">
      <c r="A131" s="39"/>
      <c r="B131" s="40"/>
      <c r="C131" s="40"/>
      <c r="D131" s="40"/>
      <c r="E131" s="40"/>
      <c r="F131" s="40"/>
      <c r="G131" s="40"/>
      <c r="H131" s="63"/>
      <c r="I131" s="63"/>
      <c r="J131" s="63"/>
      <c r="K131" s="63"/>
      <c r="L131" s="40"/>
      <c r="N131" s="71">
        <f>ROW()</f>
        <v>131</v>
      </c>
      <c r="O131" s="71" t="str">
        <f>IF(ISNUMBER(SEARCH(Invoice!$Q$14,C131)),N131,"")</f>
        <v/>
      </c>
      <c r="P131" s="74" t="str">
        <f>IFERROR(SMALL(O131:O598,ROWS($O$2:O131)),"")</f>
        <v/>
      </c>
    </row>
    <row r="132" spans="1:18" x14ac:dyDescent="0.3">
      <c r="A132" s="44"/>
      <c r="B132" s="45"/>
      <c r="C132" s="45"/>
      <c r="D132" s="45"/>
      <c r="E132" s="45"/>
      <c r="F132" s="45"/>
      <c r="G132" s="45"/>
      <c r="H132" s="64"/>
      <c r="I132" s="64"/>
      <c r="J132" s="64"/>
      <c r="K132" s="64"/>
      <c r="L132" s="45"/>
      <c r="M132" s="43"/>
      <c r="N132" s="71">
        <f>ROW()</f>
        <v>132</v>
      </c>
      <c r="O132" s="71" t="str">
        <f>IF(ISNUMBER(SEARCH(Invoice!$Q$14,C132)),N132,"")</f>
        <v/>
      </c>
      <c r="P132" s="74" t="str">
        <f>IFERROR(SMALL(O132:O599,ROWS($O$2:O132)),"")</f>
        <v/>
      </c>
      <c r="Q132" s="43"/>
      <c r="R132" s="43"/>
    </row>
    <row r="133" spans="1:18" x14ac:dyDescent="0.3">
      <c r="A133" s="39"/>
      <c r="B133" s="40"/>
      <c r="C133" s="40"/>
      <c r="D133" s="40"/>
      <c r="E133" s="40"/>
      <c r="F133" s="40"/>
      <c r="G133" s="40"/>
      <c r="H133" s="63"/>
      <c r="I133" s="63"/>
      <c r="J133" s="63"/>
      <c r="K133" s="63"/>
      <c r="L133" s="40"/>
      <c r="N133" s="71">
        <f>ROW()</f>
        <v>133</v>
      </c>
      <c r="O133" s="71" t="str">
        <f>IF(ISNUMBER(SEARCH(Invoice!$Q$14,C133)),N133,"")</f>
        <v/>
      </c>
      <c r="P133" s="74" t="str">
        <f>IFERROR(SMALL(O133:O600,ROWS($O$2:O133)),"")</f>
        <v/>
      </c>
    </row>
    <row r="134" spans="1:18" x14ac:dyDescent="0.3">
      <c r="A134" s="44"/>
      <c r="B134" s="45"/>
      <c r="C134" s="45"/>
      <c r="D134" s="45"/>
      <c r="E134" s="45"/>
      <c r="F134" s="45"/>
      <c r="G134" s="45"/>
      <c r="H134" s="64"/>
      <c r="I134" s="64"/>
      <c r="J134" s="64"/>
      <c r="K134" s="64"/>
      <c r="L134" s="45"/>
      <c r="M134" s="43"/>
      <c r="N134" s="71">
        <f>ROW()</f>
        <v>134</v>
      </c>
      <c r="O134" s="71" t="str">
        <f>IF(ISNUMBER(SEARCH(Invoice!$Q$14,C134)),N134,"")</f>
        <v/>
      </c>
      <c r="P134" s="74" t="str">
        <f>IFERROR(SMALL(O134:O601,ROWS($O$2:O134)),"")</f>
        <v/>
      </c>
      <c r="Q134" s="43"/>
      <c r="R134" s="43"/>
    </row>
    <row r="135" spans="1:18" x14ac:dyDescent="0.3">
      <c r="A135" s="39"/>
      <c r="B135" s="40"/>
      <c r="C135" s="40"/>
      <c r="D135" s="40"/>
      <c r="E135" s="40"/>
      <c r="F135" s="40"/>
      <c r="G135" s="40"/>
      <c r="H135" s="63"/>
      <c r="I135" s="63"/>
      <c r="J135" s="63"/>
      <c r="K135" s="63"/>
      <c r="L135" s="40"/>
      <c r="N135" s="71">
        <f>ROW()</f>
        <v>135</v>
      </c>
      <c r="O135" s="71" t="str">
        <f>IF(ISNUMBER(SEARCH(Invoice!$Q$14,C135)),N135,"")</f>
        <v/>
      </c>
      <c r="P135" s="74" t="str">
        <f>IFERROR(SMALL(O135:O602,ROWS($O$2:O135)),"")</f>
        <v/>
      </c>
    </row>
    <row r="136" spans="1:18" x14ac:dyDescent="0.3">
      <c r="A136" s="44"/>
      <c r="B136" s="45"/>
      <c r="C136" s="45"/>
      <c r="D136" s="45"/>
      <c r="E136" s="45"/>
      <c r="F136" s="45"/>
      <c r="G136" s="45"/>
      <c r="H136" s="64"/>
      <c r="I136" s="64"/>
      <c r="J136" s="64"/>
      <c r="K136" s="64"/>
      <c r="L136" s="45"/>
      <c r="M136" s="43"/>
      <c r="N136" s="71">
        <f>ROW()</f>
        <v>136</v>
      </c>
      <c r="O136" s="71" t="str">
        <f>IF(ISNUMBER(SEARCH(Invoice!$Q$14,C136)),N136,"")</f>
        <v/>
      </c>
      <c r="P136" s="74" t="str">
        <f>IFERROR(SMALL(O136:O603,ROWS($O$2:O136)),"")</f>
        <v/>
      </c>
      <c r="Q136" s="43"/>
      <c r="R136" s="43"/>
    </row>
    <row r="137" spans="1:18" x14ac:dyDescent="0.3">
      <c r="A137" s="39"/>
      <c r="B137" s="40"/>
      <c r="C137" s="40"/>
      <c r="D137" s="40"/>
      <c r="E137" s="40"/>
      <c r="F137" s="40"/>
      <c r="G137" s="40"/>
      <c r="H137" s="63"/>
      <c r="I137" s="63"/>
      <c r="J137" s="63"/>
      <c r="K137" s="63"/>
      <c r="L137" s="40"/>
      <c r="N137" s="71">
        <f>ROW()</f>
        <v>137</v>
      </c>
      <c r="O137" s="71" t="str">
        <f>IF(ISNUMBER(SEARCH(Invoice!$Q$14,C137)),N137,"")</f>
        <v/>
      </c>
      <c r="P137" s="74" t="str">
        <f>IFERROR(SMALL(O137:O604,ROWS($O$2:O137)),"")</f>
        <v/>
      </c>
    </row>
    <row r="138" spans="1:18" x14ac:dyDescent="0.3">
      <c r="A138" s="44"/>
      <c r="B138" s="45"/>
      <c r="C138" s="45"/>
      <c r="D138" s="45"/>
      <c r="E138" s="45"/>
      <c r="F138" s="45"/>
      <c r="G138" s="45"/>
      <c r="H138" s="64"/>
      <c r="I138" s="64"/>
      <c r="J138" s="64"/>
      <c r="K138" s="64"/>
      <c r="L138" s="45"/>
      <c r="M138" s="43"/>
      <c r="N138" s="71">
        <f>ROW()</f>
        <v>138</v>
      </c>
      <c r="O138" s="71" t="str">
        <f>IF(ISNUMBER(SEARCH(Invoice!$Q$14,C138)),N138,"")</f>
        <v/>
      </c>
      <c r="P138" s="74" t="str">
        <f>IFERROR(SMALL(O138:O605,ROWS($O$2:O138)),"")</f>
        <v/>
      </c>
      <c r="Q138" s="43"/>
      <c r="R138" s="43"/>
    </row>
    <row r="139" spans="1:18" x14ac:dyDescent="0.3">
      <c r="A139" s="39"/>
      <c r="B139" s="40"/>
      <c r="C139" s="40"/>
      <c r="D139" s="40"/>
      <c r="E139" s="40"/>
      <c r="F139" s="40"/>
      <c r="G139" s="40"/>
      <c r="H139" s="63"/>
      <c r="I139" s="63"/>
      <c r="J139" s="63"/>
      <c r="K139" s="63"/>
      <c r="L139" s="40"/>
      <c r="N139" s="71">
        <f>ROW()</f>
        <v>139</v>
      </c>
      <c r="O139" s="71" t="str">
        <f>IF(ISNUMBER(SEARCH(Invoice!$Q$14,C139)),N139,"")</f>
        <v/>
      </c>
      <c r="P139" s="74" t="str">
        <f>IFERROR(SMALL(O139:O606,ROWS($O$2:O139)),"")</f>
        <v/>
      </c>
    </row>
    <row r="140" spans="1:18" x14ac:dyDescent="0.3">
      <c r="A140" s="44"/>
      <c r="B140" s="45"/>
      <c r="C140" s="45"/>
      <c r="D140" s="45"/>
      <c r="E140" s="45"/>
      <c r="F140" s="45"/>
      <c r="G140" s="45"/>
      <c r="H140" s="64"/>
      <c r="I140" s="64"/>
      <c r="J140" s="64"/>
      <c r="K140" s="64"/>
      <c r="L140" s="45"/>
      <c r="M140" s="43"/>
      <c r="N140" s="71">
        <f>ROW()</f>
        <v>140</v>
      </c>
      <c r="O140" s="71" t="str">
        <f>IF(ISNUMBER(SEARCH(Invoice!$Q$14,C140)),N140,"")</f>
        <v/>
      </c>
      <c r="P140" s="74" t="str">
        <f>IFERROR(SMALL(O140:O607,ROWS($O$2:O140)),"")</f>
        <v/>
      </c>
      <c r="Q140" s="43"/>
      <c r="R140" s="43"/>
    </row>
    <row r="141" spans="1:18" x14ac:dyDescent="0.3">
      <c r="A141" s="39"/>
      <c r="B141" s="40"/>
      <c r="C141" s="40"/>
      <c r="D141" s="40"/>
      <c r="E141" s="40"/>
      <c r="F141" s="40"/>
      <c r="G141" s="40"/>
      <c r="H141" s="63"/>
      <c r="I141" s="63"/>
      <c r="J141" s="63"/>
      <c r="K141" s="63"/>
      <c r="L141" s="40"/>
      <c r="N141" s="71">
        <f>ROW()</f>
        <v>141</v>
      </c>
      <c r="O141" s="71" t="str">
        <f>IF(ISNUMBER(SEARCH(Invoice!$Q$14,C141)),N141,"")</f>
        <v/>
      </c>
      <c r="P141" s="74" t="str">
        <f>IFERROR(SMALL(O141:O608,ROWS($O$2:O141)),"")</f>
        <v/>
      </c>
    </row>
    <row r="142" spans="1:18" x14ac:dyDescent="0.3">
      <c r="A142" s="44"/>
      <c r="B142" s="45"/>
      <c r="C142" s="45"/>
      <c r="D142" s="45"/>
      <c r="E142" s="45"/>
      <c r="F142" s="45"/>
      <c r="G142" s="45"/>
      <c r="H142" s="64"/>
      <c r="I142" s="64"/>
      <c r="J142" s="64"/>
      <c r="K142" s="64"/>
      <c r="L142" s="45"/>
      <c r="M142" s="43"/>
      <c r="N142" s="71">
        <f>ROW()</f>
        <v>142</v>
      </c>
      <c r="O142" s="71" t="str">
        <f>IF(ISNUMBER(SEARCH(Invoice!$Q$14,C142)),N142,"")</f>
        <v/>
      </c>
      <c r="P142" s="74" t="str">
        <f>IFERROR(SMALL(O142:O609,ROWS($O$2:O142)),"")</f>
        <v/>
      </c>
      <c r="Q142" s="43"/>
      <c r="R142" s="43"/>
    </row>
    <row r="143" spans="1:18" x14ac:dyDescent="0.3">
      <c r="A143" s="39"/>
      <c r="B143" s="40"/>
      <c r="C143" s="40"/>
      <c r="D143" s="40"/>
      <c r="E143" s="40"/>
      <c r="F143" s="40"/>
      <c r="G143" s="40"/>
      <c r="H143" s="63"/>
      <c r="I143" s="63"/>
      <c r="J143" s="63"/>
      <c r="K143" s="63"/>
      <c r="L143" s="40"/>
      <c r="N143" s="71">
        <f>ROW()</f>
        <v>143</v>
      </c>
      <c r="O143" s="71" t="str">
        <f>IF(ISNUMBER(SEARCH(Invoice!$Q$14,C143)),N143,"")</f>
        <v/>
      </c>
      <c r="P143" s="74" t="str">
        <f>IFERROR(SMALL(O143:O610,ROWS($O$2:O143)),"")</f>
        <v/>
      </c>
    </row>
    <row r="144" spans="1:18" x14ac:dyDescent="0.3">
      <c r="A144" s="44"/>
      <c r="B144" s="45"/>
      <c r="C144" s="45"/>
      <c r="D144" s="45"/>
      <c r="E144" s="45"/>
      <c r="F144" s="45"/>
      <c r="G144" s="45"/>
      <c r="H144" s="64"/>
      <c r="I144" s="64"/>
      <c r="J144" s="64"/>
      <c r="K144" s="64"/>
      <c r="L144" s="45"/>
      <c r="M144" s="43"/>
      <c r="N144" s="71">
        <f>ROW()</f>
        <v>144</v>
      </c>
      <c r="O144" s="71" t="str">
        <f>IF(ISNUMBER(SEARCH(Invoice!$Q$14,C144)),N144,"")</f>
        <v/>
      </c>
      <c r="P144" s="74" t="str">
        <f>IFERROR(SMALL(O144:O611,ROWS($O$2:O144)),"")</f>
        <v/>
      </c>
      <c r="Q144" s="43"/>
      <c r="R144" s="43"/>
    </row>
    <row r="145" spans="1:18" x14ac:dyDescent="0.3">
      <c r="A145" s="39"/>
      <c r="B145" s="40"/>
      <c r="C145" s="40"/>
      <c r="D145" s="40"/>
      <c r="E145" s="40"/>
      <c r="F145" s="40"/>
      <c r="G145" s="40"/>
      <c r="H145" s="63"/>
      <c r="I145" s="63"/>
      <c r="J145" s="63"/>
      <c r="K145" s="63"/>
      <c r="L145" s="40"/>
      <c r="N145" s="71">
        <f>ROW()</f>
        <v>145</v>
      </c>
      <c r="O145" s="71" t="str">
        <f>IF(ISNUMBER(SEARCH(Invoice!$Q$14,C145)),N145,"")</f>
        <v/>
      </c>
      <c r="P145" s="74" t="str">
        <f>IFERROR(SMALL(O145:O612,ROWS($O$2:O145)),"")</f>
        <v/>
      </c>
    </row>
    <row r="146" spans="1:18" x14ac:dyDescent="0.3">
      <c r="A146" s="44"/>
      <c r="B146" s="45"/>
      <c r="C146" s="45"/>
      <c r="D146" s="45"/>
      <c r="E146" s="45"/>
      <c r="F146" s="45"/>
      <c r="G146" s="45"/>
      <c r="H146" s="64"/>
      <c r="I146" s="64"/>
      <c r="J146" s="64"/>
      <c r="K146" s="64"/>
      <c r="L146" s="45"/>
      <c r="M146" s="43"/>
      <c r="N146" s="71">
        <f>ROW()</f>
        <v>146</v>
      </c>
      <c r="O146" s="71" t="str">
        <f>IF(ISNUMBER(SEARCH(Invoice!$Q$14,C146)),N146,"")</f>
        <v/>
      </c>
      <c r="P146" s="74" t="str">
        <f>IFERROR(SMALL(O146:O613,ROWS($O$2:O146)),"")</f>
        <v/>
      </c>
      <c r="Q146" s="43"/>
      <c r="R146" s="43"/>
    </row>
    <row r="147" spans="1:18" x14ac:dyDescent="0.3">
      <c r="A147" s="39"/>
      <c r="B147" s="40"/>
      <c r="C147" s="40"/>
      <c r="D147" s="40"/>
      <c r="E147" s="40"/>
      <c r="F147" s="40"/>
      <c r="G147" s="40"/>
      <c r="H147" s="63"/>
      <c r="I147" s="63"/>
      <c r="J147" s="63"/>
      <c r="K147" s="63"/>
      <c r="L147" s="40"/>
      <c r="N147" s="71">
        <f>ROW()</f>
        <v>147</v>
      </c>
      <c r="O147" s="71" t="str">
        <f>IF(ISNUMBER(SEARCH(Invoice!$Q$14,C147)),N147,"")</f>
        <v/>
      </c>
      <c r="P147" s="74" t="str">
        <f>IFERROR(SMALL(O147:O614,ROWS($O$2:O147)),"")</f>
        <v/>
      </c>
    </row>
    <row r="148" spans="1:18" x14ac:dyDescent="0.3">
      <c r="A148" s="44"/>
      <c r="B148" s="45"/>
      <c r="C148" s="45"/>
      <c r="D148" s="45"/>
      <c r="E148" s="45"/>
      <c r="F148" s="45"/>
      <c r="G148" s="45"/>
      <c r="H148" s="64"/>
      <c r="I148" s="64"/>
      <c r="J148" s="64"/>
      <c r="K148" s="64"/>
      <c r="L148" s="45"/>
      <c r="M148" s="43"/>
      <c r="N148" s="71">
        <f>ROW()</f>
        <v>148</v>
      </c>
      <c r="O148" s="71" t="str">
        <f>IF(ISNUMBER(SEARCH(Invoice!$Q$14,C148)),N148,"")</f>
        <v/>
      </c>
      <c r="P148" s="74" t="str">
        <f>IFERROR(SMALL(O148:O615,ROWS($O$2:O148)),"")</f>
        <v/>
      </c>
      <c r="Q148" s="43"/>
      <c r="R148" s="43"/>
    </row>
    <row r="149" spans="1:18" x14ac:dyDescent="0.3">
      <c r="A149" s="39"/>
      <c r="B149" s="40"/>
      <c r="C149" s="40"/>
      <c r="D149" s="40"/>
      <c r="E149" s="40"/>
      <c r="F149" s="40"/>
      <c r="G149" s="40"/>
      <c r="H149" s="63"/>
      <c r="I149" s="63"/>
      <c r="J149" s="63"/>
      <c r="K149" s="63"/>
      <c r="L149" s="40"/>
      <c r="N149" s="71">
        <f>ROW()</f>
        <v>149</v>
      </c>
      <c r="O149" s="71" t="str">
        <f>IF(ISNUMBER(SEARCH(Invoice!$Q$14,C149)),N149,"")</f>
        <v/>
      </c>
      <c r="P149" s="74" t="str">
        <f>IFERROR(SMALL(O149:O616,ROWS($O$2:O149)),"")</f>
        <v/>
      </c>
    </row>
    <row r="150" spans="1:18" x14ac:dyDescent="0.3">
      <c r="A150" s="44"/>
      <c r="B150" s="45"/>
      <c r="C150" s="45"/>
      <c r="D150" s="45"/>
      <c r="E150" s="45"/>
      <c r="F150" s="45"/>
      <c r="G150" s="45"/>
      <c r="H150" s="64"/>
      <c r="I150" s="64"/>
      <c r="J150" s="64"/>
      <c r="K150" s="64"/>
      <c r="L150" s="45"/>
      <c r="M150" s="43"/>
      <c r="N150" s="71">
        <f>ROW()</f>
        <v>150</v>
      </c>
      <c r="O150" s="71" t="str">
        <f>IF(ISNUMBER(SEARCH(Invoice!$Q$14,C150)),N150,"")</f>
        <v/>
      </c>
      <c r="P150" s="74" t="str">
        <f>IFERROR(SMALL(O150:O617,ROWS($O$2:O150)),"")</f>
        <v/>
      </c>
      <c r="Q150" s="43"/>
      <c r="R150" s="43"/>
    </row>
    <row r="151" spans="1:18" x14ac:dyDescent="0.3">
      <c r="A151" s="39"/>
      <c r="B151" s="40"/>
      <c r="C151" s="40"/>
      <c r="D151" s="40"/>
      <c r="E151" s="40"/>
      <c r="F151" s="40"/>
      <c r="G151" s="40"/>
      <c r="H151" s="63"/>
      <c r="I151" s="63"/>
      <c r="J151" s="63"/>
      <c r="K151" s="63"/>
      <c r="L151" s="40"/>
      <c r="N151" s="71">
        <f>ROW()</f>
        <v>151</v>
      </c>
      <c r="O151" s="71" t="str">
        <f>IF(ISNUMBER(SEARCH(Invoice!$Q$14,C151)),N151,"")</f>
        <v/>
      </c>
      <c r="P151" s="74" t="str">
        <f>IFERROR(SMALL(O151:O618,ROWS($O$2:O151)),"")</f>
        <v/>
      </c>
    </row>
    <row r="152" spans="1:18" x14ac:dyDescent="0.3">
      <c r="A152" s="44"/>
      <c r="B152" s="45"/>
      <c r="C152" s="45"/>
      <c r="D152" s="45"/>
      <c r="E152" s="45"/>
      <c r="F152" s="45"/>
      <c r="G152" s="45"/>
      <c r="H152" s="64"/>
      <c r="I152" s="64"/>
      <c r="J152" s="64"/>
      <c r="K152" s="64"/>
      <c r="L152" s="45"/>
      <c r="M152" s="43"/>
      <c r="N152" s="71">
        <f>ROW()</f>
        <v>152</v>
      </c>
      <c r="O152" s="71" t="str">
        <f>IF(ISNUMBER(SEARCH(Invoice!$Q$14,C152)),N152,"")</f>
        <v/>
      </c>
      <c r="P152" s="74" t="str">
        <f>IFERROR(SMALL(O152:O619,ROWS($O$2:O152)),"")</f>
        <v/>
      </c>
      <c r="Q152" s="43"/>
      <c r="R152" s="43"/>
    </row>
    <row r="153" spans="1:18" x14ac:dyDescent="0.3">
      <c r="A153" s="39"/>
      <c r="B153" s="40"/>
      <c r="C153" s="40"/>
      <c r="D153" s="40"/>
      <c r="E153" s="40"/>
      <c r="F153" s="40"/>
      <c r="G153" s="40"/>
      <c r="H153" s="63"/>
      <c r="I153" s="63"/>
      <c r="J153" s="63"/>
      <c r="K153" s="63"/>
      <c r="L153" s="40"/>
      <c r="N153" s="71">
        <f>ROW()</f>
        <v>153</v>
      </c>
      <c r="O153" s="71" t="str">
        <f>IF(ISNUMBER(SEARCH(Invoice!$Q$14,C153)),N153,"")</f>
        <v/>
      </c>
      <c r="P153" s="74" t="str">
        <f>IFERROR(SMALL(O153:O620,ROWS($O$2:O153)),"")</f>
        <v/>
      </c>
    </row>
    <row r="154" spans="1:18" x14ac:dyDescent="0.3">
      <c r="A154" s="44"/>
      <c r="B154" s="45"/>
      <c r="C154" s="45"/>
      <c r="D154" s="45"/>
      <c r="E154" s="45"/>
      <c r="F154" s="45"/>
      <c r="G154" s="45"/>
      <c r="H154" s="64"/>
      <c r="I154" s="64"/>
      <c r="J154" s="64"/>
      <c r="K154" s="64"/>
      <c r="L154" s="45"/>
      <c r="M154" s="43"/>
      <c r="N154" s="71">
        <f>ROW()</f>
        <v>154</v>
      </c>
      <c r="O154" s="71" t="str">
        <f>IF(ISNUMBER(SEARCH(Invoice!$Q$14,C154)),N154,"")</f>
        <v/>
      </c>
      <c r="P154" s="74" t="str">
        <f>IFERROR(SMALL(O154:O621,ROWS($O$2:O154)),"")</f>
        <v/>
      </c>
      <c r="Q154" s="43"/>
      <c r="R154" s="43"/>
    </row>
    <row r="155" spans="1:18" x14ac:dyDescent="0.3">
      <c r="A155" s="39"/>
      <c r="B155" s="40"/>
      <c r="C155" s="40"/>
      <c r="D155" s="40"/>
      <c r="E155" s="40"/>
      <c r="F155" s="40"/>
      <c r="G155" s="40"/>
      <c r="H155" s="63"/>
      <c r="I155" s="63"/>
      <c r="J155" s="63"/>
      <c r="K155" s="63"/>
      <c r="L155" s="40"/>
      <c r="N155" s="71">
        <f>ROW()</f>
        <v>155</v>
      </c>
      <c r="O155" s="71" t="str">
        <f>IF(ISNUMBER(SEARCH(Invoice!$Q$14,C155)),N155,"")</f>
        <v/>
      </c>
      <c r="P155" s="74" t="str">
        <f>IFERROR(SMALL(O155:O622,ROWS($O$2:O155)),"")</f>
        <v/>
      </c>
    </row>
    <row r="156" spans="1:18" x14ac:dyDescent="0.3">
      <c r="A156" s="44"/>
      <c r="B156" s="45"/>
      <c r="C156" s="45"/>
      <c r="D156" s="45"/>
      <c r="E156" s="45"/>
      <c r="F156" s="45"/>
      <c r="G156" s="45"/>
      <c r="H156" s="64"/>
      <c r="I156" s="64"/>
      <c r="J156" s="64"/>
      <c r="K156" s="64"/>
      <c r="L156" s="45"/>
      <c r="M156" s="43"/>
      <c r="N156" s="71">
        <f>ROW()</f>
        <v>156</v>
      </c>
      <c r="O156" s="71" t="str">
        <f>IF(ISNUMBER(SEARCH(Invoice!$Q$14,C156)),N156,"")</f>
        <v/>
      </c>
      <c r="P156" s="74" t="str">
        <f>IFERROR(SMALL(O156:O623,ROWS($O$2:O156)),"")</f>
        <v/>
      </c>
      <c r="Q156" s="43"/>
      <c r="R156" s="43"/>
    </row>
    <row r="157" spans="1:18" x14ac:dyDescent="0.3">
      <c r="A157" s="39"/>
      <c r="B157" s="40"/>
      <c r="C157" s="40"/>
      <c r="D157" s="40"/>
      <c r="E157" s="40"/>
      <c r="F157" s="40"/>
      <c r="G157" s="40"/>
      <c r="H157" s="63"/>
      <c r="I157" s="63"/>
      <c r="J157" s="63"/>
      <c r="K157" s="63"/>
      <c r="L157" s="40"/>
      <c r="N157" s="71">
        <f>ROW()</f>
        <v>157</v>
      </c>
      <c r="O157" s="71" t="str">
        <f>IF(ISNUMBER(SEARCH(Invoice!$Q$14,C157)),N157,"")</f>
        <v/>
      </c>
      <c r="P157" s="74" t="str">
        <f>IFERROR(SMALL(O157:O624,ROWS($O$2:O157)),"")</f>
        <v/>
      </c>
    </row>
    <row r="158" spans="1:18" x14ac:dyDescent="0.3">
      <c r="A158" s="44"/>
      <c r="B158" s="45"/>
      <c r="C158" s="45"/>
      <c r="D158" s="45"/>
      <c r="E158" s="45"/>
      <c r="F158" s="45"/>
      <c r="G158" s="45"/>
      <c r="H158" s="64"/>
      <c r="I158" s="64"/>
      <c r="J158" s="64"/>
      <c r="K158" s="64"/>
      <c r="L158" s="45"/>
      <c r="M158" s="43"/>
      <c r="N158" s="71">
        <f>ROW()</f>
        <v>158</v>
      </c>
      <c r="O158" s="71" t="str">
        <f>IF(ISNUMBER(SEARCH(Invoice!$Q$14,C158)),N158,"")</f>
        <v/>
      </c>
      <c r="P158" s="74" t="str">
        <f>IFERROR(SMALL(O158:O625,ROWS($O$2:O158)),"")</f>
        <v/>
      </c>
      <c r="Q158" s="43"/>
      <c r="R158" s="43"/>
    </row>
    <row r="159" spans="1:18" x14ac:dyDescent="0.3">
      <c r="A159" s="39"/>
      <c r="B159" s="40"/>
      <c r="C159" s="40"/>
      <c r="D159" s="40"/>
      <c r="E159" s="40"/>
      <c r="F159" s="40"/>
      <c r="G159" s="40"/>
      <c r="H159" s="63"/>
      <c r="I159" s="63"/>
      <c r="J159" s="63"/>
      <c r="K159" s="63"/>
      <c r="L159" s="40"/>
      <c r="N159" s="71">
        <f>ROW()</f>
        <v>159</v>
      </c>
      <c r="O159" s="71" t="str">
        <f>IF(ISNUMBER(SEARCH(Invoice!$Q$14,C159)),N159,"")</f>
        <v/>
      </c>
      <c r="P159" s="74" t="str">
        <f>IFERROR(SMALL(O159:O626,ROWS($O$2:O159)),"")</f>
        <v/>
      </c>
    </row>
    <row r="160" spans="1:18" x14ac:dyDescent="0.3">
      <c r="A160" s="44"/>
      <c r="B160" s="45"/>
      <c r="C160" s="45"/>
      <c r="D160" s="45"/>
      <c r="E160" s="45"/>
      <c r="F160" s="45"/>
      <c r="G160" s="45"/>
      <c r="H160" s="64"/>
      <c r="I160" s="64"/>
      <c r="J160" s="64"/>
      <c r="K160" s="64"/>
      <c r="L160" s="45"/>
      <c r="M160" s="43"/>
      <c r="N160" s="71">
        <f>ROW()</f>
        <v>160</v>
      </c>
      <c r="O160" s="71" t="str">
        <f>IF(ISNUMBER(SEARCH(Invoice!$Q$14,C160)),N160,"")</f>
        <v/>
      </c>
      <c r="P160" s="74" t="str">
        <f>IFERROR(SMALL(O160:O627,ROWS($O$2:O160)),"")</f>
        <v/>
      </c>
      <c r="Q160" s="43"/>
      <c r="R160" s="43"/>
    </row>
    <row r="161" spans="1:18" x14ac:dyDescent="0.3">
      <c r="A161" s="39"/>
      <c r="B161" s="40"/>
      <c r="C161" s="40"/>
      <c r="D161" s="40"/>
      <c r="E161" s="40"/>
      <c r="F161" s="40"/>
      <c r="G161" s="40"/>
      <c r="H161" s="63"/>
      <c r="I161" s="63"/>
      <c r="J161" s="63"/>
      <c r="K161" s="63"/>
      <c r="L161" s="40"/>
      <c r="N161" s="71">
        <f>ROW()</f>
        <v>161</v>
      </c>
      <c r="O161" s="71" t="str">
        <f>IF(ISNUMBER(SEARCH(Invoice!$Q$14,C161)),N161,"")</f>
        <v/>
      </c>
      <c r="P161" s="74" t="str">
        <f>IFERROR(SMALL(O161:O628,ROWS($O$2:O161)),"")</f>
        <v/>
      </c>
    </row>
    <row r="162" spans="1:18" x14ac:dyDescent="0.3">
      <c r="A162" s="44"/>
      <c r="B162" s="45"/>
      <c r="C162" s="45"/>
      <c r="D162" s="45"/>
      <c r="E162" s="45"/>
      <c r="F162" s="45"/>
      <c r="G162" s="45"/>
      <c r="H162" s="64"/>
      <c r="I162" s="64"/>
      <c r="J162" s="64"/>
      <c r="K162" s="64"/>
      <c r="L162" s="45"/>
      <c r="M162" s="43"/>
      <c r="N162" s="71">
        <f>ROW()</f>
        <v>162</v>
      </c>
      <c r="O162" s="71" t="str">
        <f>IF(ISNUMBER(SEARCH(Invoice!$Q$14,C162)),N162,"")</f>
        <v/>
      </c>
      <c r="P162" s="74" t="str">
        <f>IFERROR(SMALL(O162:O629,ROWS($O$2:O162)),"")</f>
        <v/>
      </c>
      <c r="Q162" s="43"/>
      <c r="R162" s="43"/>
    </row>
    <row r="163" spans="1:18" x14ac:dyDescent="0.3">
      <c r="A163" s="39"/>
      <c r="B163" s="40"/>
      <c r="C163" s="40"/>
      <c r="D163" s="40"/>
      <c r="E163" s="40"/>
      <c r="F163" s="40"/>
      <c r="G163" s="40"/>
      <c r="H163" s="63"/>
      <c r="I163" s="63"/>
      <c r="J163" s="63"/>
      <c r="K163" s="63"/>
      <c r="L163" s="40"/>
      <c r="N163" s="71">
        <f>ROW()</f>
        <v>163</v>
      </c>
      <c r="O163" s="71" t="str">
        <f>IF(ISNUMBER(SEARCH(Invoice!$Q$14,C163)),N163,"")</f>
        <v/>
      </c>
      <c r="P163" s="74" t="str">
        <f>IFERROR(SMALL(O163:O630,ROWS($O$2:O163)),"")</f>
        <v/>
      </c>
    </row>
    <row r="164" spans="1:18" x14ac:dyDescent="0.3">
      <c r="A164" s="44"/>
      <c r="B164" s="45"/>
      <c r="C164" s="45"/>
      <c r="D164" s="45"/>
      <c r="E164" s="45"/>
      <c r="F164" s="45"/>
      <c r="G164" s="45"/>
      <c r="H164" s="64"/>
      <c r="I164" s="64"/>
      <c r="J164" s="64"/>
      <c r="K164" s="64"/>
      <c r="L164" s="45"/>
      <c r="M164" s="43"/>
      <c r="N164" s="71">
        <f>ROW()</f>
        <v>164</v>
      </c>
      <c r="O164" s="71" t="str">
        <f>IF(ISNUMBER(SEARCH(Invoice!$Q$14,C164)),N164,"")</f>
        <v/>
      </c>
      <c r="P164" s="74" t="str">
        <f>IFERROR(SMALL(O164:O631,ROWS($O$2:O164)),"")</f>
        <v/>
      </c>
      <c r="Q164" s="43"/>
      <c r="R164" s="43"/>
    </row>
    <row r="165" spans="1:18" x14ac:dyDescent="0.3">
      <c r="A165" s="39"/>
      <c r="B165" s="40"/>
      <c r="C165" s="40"/>
      <c r="D165" s="40"/>
      <c r="E165" s="40"/>
      <c r="F165" s="40"/>
      <c r="G165" s="40"/>
      <c r="H165" s="63"/>
      <c r="I165" s="63"/>
      <c r="J165" s="63"/>
      <c r="K165" s="63"/>
      <c r="L165" s="40"/>
      <c r="N165" s="71">
        <f>ROW()</f>
        <v>165</v>
      </c>
      <c r="O165" s="71" t="str">
        <f>IF(ISNUMBER(SEARCH(Invoice!$Q$14,C165)),N165,"")</f>
        <v/>
      </c>
      <c r="P165" s="74" t="str">
        <f>IFERROR(SMALL(O165:O632,ROWS($O$2:O165)),"")</f>
        <v/>
      </c>
    </row>
    <row r="166" spans="1:18" x14ac:dyDescent="0.3">
      <c r="A166" s="44"/>
      <c r="B166" s="45"/>
      <c r="C166" s="45"/>
      <c r="D166" s="45"/>
      <c r="E166" s="45"/>
      <c r="F166" s="45"/>
      <c r="G166" s="45"/>
      <c r="H166" s="64"/>
      <c r="I166" s="64"/>
      <c r="J166" s="64"/>
      <c r="K166" s="64"/>
      <c r="L166" s="45"/>
      <c r="M166" s="43"/>
      <c r="N166" s="71">
        <f>ROW()</f>
        <v>166</v>
      </c>
      <c r="O166" s="71" t="str">
        <f>IF(ISNUMBER(SEARCH(Invoice!$Q$14,C166)),N166,"")</f>
        <v/>
      </c>
      <c r="P166" s="74" t="str">
        <f>IFERROR(SMALL(O166:O633,ROWS($O$2:O166)),"")</f>
        <v/>
      </c>
      <c r="Q166" s="43"/>
      <c r="R166" s="43"/>
    </row>
    <row r="167" spans="1:18" x14ac:dyDescent="0.3">
      <c r="A167" s="39"/>
      <c r="B167" s="40"/>
      <c r="C167" s="40"/>
      <c r="D167" s="40"/>
      <c r="E167" s="40"/>
      <c r="F167" s="40"/>
      <c r="G167" s="40"/>
      <c r="H167" s="63"/>
      <c r="I167" s="63"/>
      <c r="J167" s="63"/>
      <c r="K167" s="63"/>
      <c r="L167" s="40"/>
      <c r="N167" s="71">
        <f>ROW()</f>
        <v>167</v>
      </c>
      <c r="O167" s="71" t="str">
        <f>IF(ISNUMBER(SEARCH(Invoice!$Q$14,C167)),N167,"")</f>
        <v/>
      </c>
      <c r="P167" s="74" t="str">
        <f>IFERROR(SMALL(O167:O634,ROWS($O$2:O167)),"")</f>
        <v/>
      </c>
    </row>
    <row r="168" spans="1:18" x14ac:dyDescent="0.3">
      <c r="A168" s="44"/>
      <c r="B168" s="45"/>
      <c r="C168" s="45"/>
      <c r="D168" s="45"/>
      <c r="E168" s="45"/>
      <c r="F168" s="45"/>
      <c r="G168" s="45"/>
      <c r="H168" s="64"/>
      <c r="I168" s="64"/>
      <c r="J168" s="64"/>
      <c r="K168" s="64"/>
      <c r="L168" s="45"/>
      <c r="M168" s="43"/>
      <c r="N168" s="71">
        <f>ROW()</f>
        <v>168</v>
      </c>
      <c r="O168" s="71" t="str">
        <f>IF(ISNUMBER(SEARCH(Invoice!$Q$14,C168)),N168,"")</f>
        <v/>
      </c>
      <c r="P168" s="74" t="str">
        <f>IFERROR(SMALL(O168:O635,ROWS($O$2:O168)),"")</f>
        <v/>
      </c>
      <c r="Q168" s="43"/>
      <c r="R168" s="43"/>
    </row>
    <row r="169" spans="1:18" x14ac:dyDescent="0.3">
      <c r="A169" s="39"/>
      <c r="B169" s="40"/>
      <c r="C169" s="40"/>
      <c r="D169" s="40"/>
      <c r="E169" s="40"/>
      <c r="F169" s="40"/>
      <c r="G169" s="40"/>
      <c r="H169" s="63"/>
      <c r="I169" s="63"/>
      <c r="J169" s="63"/>
      <c r="K169" s="63"/>
      <c r="L169" s="40"/>
      <c r="N169" s="71">
        <f>ROW()</f>
        <v>169</v>
      </c>
      <c r="O169" s="71" t="str">
        <f>IF(ISNUMBER(SEARCH(Invoice!$Q$14,C169)),N169,"")</f>
        <v/>
      </c>
      <c r="P169" s="74" t="str">
        <f>IFERROR(SMALL(O169:O636,ROWS($O$2:O169)),"")</f>
        <v/>
      </c>
    </row>
    <row r="170" spans="1:18" x14ac:dyDescent="0.3">
      <c r="A170" s="44"/>
      <c r="B170" s="45"/>
      <c r="C170" s="45"/>
      <c r="D170" s="45"/>
      <c r="E170" s="45"/>
      <c r="F170" s="45"/>
      <c r="G170" s="45"/>
      <c r="H170" s="64"/>
      <c r="I170" s="64"/>
      <c r="J170" s="64"/>
      <c r="K170" s="64"/>
      <c r="L170" s="45"/>
      <c r="M170" s="43"/>
      <c r="N170" s="71">
        <f>ROW()</f>
        <v>170</v>
      </c>
      <c r="O170" s="71" t="str">
        <f>IF(ISNUMBER(SEARCH(Invoice!$Q$14,C170)),N170,"")</f>
        <v/>
      </c>
      <c r="P170" s="74" t="str">
        <f>IFERROR(SMALL(O170:O637,ROWS($O$2:O170)),"")</f>
        <v/>
      </c>
      <c r="Q170" s="43"/>
      <c r="R170" s="43"/>
    </row>
    <row r="171" spans="1:18" x14ac:dyDescent="0.3">
      <c r="A171" s="39"/>
      <c r="B171" s="40"/>
      <c r="C171" s="40"/>
      <c r="D171" s="40"/>
      <c r="E171" s="40"/>
      <c r="F171" s="40"/>
      <c r="G171" s="40"/>
      <c r="H171" s="63"/>
      <c r="I171" s="63"/>
      <c r="J171" s="63"/>
      <c r="K171" s="63"/>
      <c r="L171" s="40"/>
      <c r="N171" s="71">
        <f>ROW()</f>
        <v>171</v>
      </c>
      <c r="O171" s="71" t="str">
        <f>IF(ISNUMBER(SEARCH(Invoice!$Q$14,C171)),N171,"")</f>
        <v/>
      </c>
      <c r="P171" s="74" t="str">
        <f>IFERROR(SMALL(O171:O638,ROWS($O$2:O171)),"")</f>
        <v/>
      </c>
    </row>
    <row r="172" spans="1:18" x14ac:dyDescent="0.3">
      <c r="A172" s="44"/>
      <c r="B172" s="45"/>
      <c r="C172" s="45"/>
      <c r="D172" s="45"/>
      <c r="E172" s="45"/>
      <c r="F172" s="45"/>
      <c r="G172" s="45"/>
      <c r="H172" s="64"/>
      <c r="I172" s="64"/>
      <c r="J172" s="64"/>
      <c r="K172" s="64"/>
      <c r="L172" s="45"/>
      <c r="M172" s="43"/>
      <c r="N172" s="71">
        <f>ROW()</f>
        <v>172</v>
      </c>
      <c r="O172" s="71" t="str">
        <f>IF(ISNUMBER(SEARCH(Invoice!$Q$14,C172)),N172,"")</f>
        <v/>
      </c>
      <c r="P172" s="74" t="str">
        <f>IFERROR(SMALL(O172:O639,ROWS($O$2:O172)),"")</f>
        <v/>
      </c>
      <c r="Q172" s="43"/>
      <c r="R172" s="43"/>
    </row>
    <row r="173" spans="1:18" x14ac:dyDescent="0.3">
      <c r="A173" s="39"/>
      <c r="B173" s="40"/>
      <c r="C173" s="40"/>
      <c r="D173" s="40"/>
      <c r="E173" s="40"/>
      <c r="F173" s="40"/>
      <c r="G173" s="40"/>
      <c r="H173" s="63"/>
      <c r="I173" s="63"/>
      <c r="J173" s="63"/>
      <c r="K173" s="63"/>
      <c r="L173" s="40"/>
      <c r="N173" s="71">
        <f>ROW()</f>
        <v>173</v>
      </c>
      <c r="O173" s="71" t="str">
        <f>IF(ISNUMBER(SEARCH(Invoice!$Q$14,C173)),N173,"")</f>
        <v/>
      </c>
      <c r="P173" s="74" t="str">
        <f>IFERROR(SMALL(O173:O640,ROWS($O$2:O173)),"")</f>
        <v/>
      </c>
    </row>
    <row r="174" spans="1:18" x14ac:dyDescent="0.3">
      <c r="A174" s="44"/>
      <c r="B174" s="45"/>
      <c r="C174" s="45"/>
      <c r="D174" s="45"/>
      <c r="E174" s="45"/>
      <c r="F174" s="45"/>
      <c r="G174" s="45"/>
      <c r="H174" s="64"/>
      <c r="I174" s="64"/>
      <c r="J174" s="64"/>
      <c r="K174" s="64"/>
      <c r="L174" s="45"/>
      <c r="M174" s="43"/>
      <c r="N174" s="71">
        <f>ROW()</f>
        <v>174</v>
      </c>
      <c r="O174" s="71" t="str">
        <f>IF(ISNUMBER(SEARCH(Invoice!$Q$14,C174)),N174,"")</f>
        <v/>
      </c>
      <c r="P174" s="74" t="str">
        <f>IFERROR(SMALL(O174:O641,ROWS($O$2:O174)),"")</f>
        <v/>
      </c>
      <c r="Q174" s="43"/>
      <c r="R174" s="43"/>
    </row>
    <row r="175" spans="1:18" x14ac:dyDescent="0.3">
      <c r="A175" s="39"/>
      <c r="B175" s="40"/>
      <c r="C175" s="40"/>
      <c r="D175" s="40"/>
      <c r="E175" s="40"/>
      <c r="F175" s="40"/>
      <c r="G175" s="40"/>
      <c r="H175" s="63"/>
      <c r="I175" s="63"/>
      <c r="J175" s="63"/>
      <c r="K175" s="63"/>
      <c r="L175" s="40"/>
      <c r="N175" s="71">
        <f>ROW()</f>
        <v>175</v>
      </c>
      <c r="O175" s="71" t="str">
        <f>IF(ISNUMBER(SEARCH(Invoice!$Q$14,C175)),N175,"")</f>
        <v/>
      </c>
      <c r="P175" s="74" t="str">
        <f>IFERROR(SMALL(O175:O642,ROWS($O$2:O175)),"")</f>
        <v/>
      </c>
    </row>
    <row r="176" spans="1:18" x14ac:dyDescent="0.3">
      <c r="A176" s="44"/>
      <c r="B176" s="45"/>
      <c r="C176" s="45"/>
      <c r="D176" s="45"/>
      <c r="E176" s="45"/>
      <c r="F176" s="45"/>
      <c r="G176" s="45"/>
      <c r="H176" s="64"/>
      <c r="I176" s="64"/>
      <c r="J176" s="64"/>
      <c r="K176" s="64"/>
      <c r="L176" s="45"/>
      <c r="M176" s="43"/>
      <c r="N176" s="71">
        <f>ROW()</f>
        <v>176</v>
      </c>
      <c r="O176" s="71" t="str">
        <f>IF(ISNUMBER(SEARCH(Invoice!$Q$14,C176)),N176,"")</f>
        <v/>
      </c>
      <c r="P176" s="74" t="str">
        <f>IFERROR(SMALL(O176:O643,ROWS($O$2:O176)),"")</f>
        <v/>
      </c>
      <c r="Q176" s="43"/>
      <c r="R176" s="43"/>
    </row>
    <row r="177" spans="1:18" x14ac:dyDescent="0.3">
      <c r="A177" s="39"/>
      <c r="B177" s="40"/>
      <c r="C177" s="40"/>
      <c r="D177" s="40"/>
      <c r="E177" s="40"/>
      <c r="F177" s="40"/>
      <c r="G177" s="40"/>
      <c r="H177" s="63"/>
      <c r="I177" s="63"/>
      <c r="J177" s="63"/>
      <c r="K177" s="63"/>
      <c r="L177" s="40"/>
      <c r="N177" s="71">
        <f>ROW()</f>
        <v>177</v>
      </c>
      <c r="O177" s="71" t="str">
        <f>IF(ISNUMBER(SEARCH(Invoice!$Q$14,C177)),N177,"")</f>
        <v/>
      </c>
      <c r="P177" s="74" t="str">
        <f>IFERROR(SMALL(O177:O644,ROWS($O$2:O177)),"")</f>
        <v/>
      </c>
    </row>
    <row r="178" spans="1:18" x14ac:dyDescent="0.3">
      <c r="A178" s="44"/>
      <c r="B178" s="45"/>
      <c r="C178" s="45"/>
      <c r="D178" s="45"/>
      <c r="E178" s="45"/>
      <c r="F178" s="45"/>
      <c r="G178" s="45"/>
      <c r="H178" s="64"/>
      <c r="I178" s="64"/>
      <c r="J178" s="64"/>
      <c r="K178" s="64"/>
      <c r="L178" s="45"/>
      <c r="M178" s="43"/>
      <c r="N178" s="71">
        <f>ROW()</f>
        <v>178</v>
      </c>
      <c r="O178" s="71" t="str">
        <f>IF(ISNUMBER(SEARCH(Invoice!$Q$14,C178)),N178,"")</f>
        <v/>
      </c>
      <c r="P178" s="74" t="str">
        <f>IFERROR(SMALL(O178:O645,ROWS($O$2:O178)),"")</f>
        <v/>
      </c>
      <c r="Q178" s="43"/>
      <c r="R178" s="43"/>
    </row>
    <row r="179" spans="1:18" x14ac:dyDescent="0.3">
      <c r="A179" s="39"/>
      <c r="B179" s="40"/>
      <c r="C179" s="40"/>
      <c r="D179" s="40"/>
      <c r="E179" s="40"/>
      <c r="F179" s="40"/>
      <c r="G179" s="40"/>
      <c r="H179" s="63"/>
      <c r="I179" s="63"/>
      <c r="J179" s="63"/>
      <c r="K179" s="63"/>
      <c r="L179" s="40"/>
      <c r="N179" s="71">
        <f>ROW()</f>
        <v>179</v>
      </c>
      <c r="O179" s="71" t="str">
        <f>IF(ISNUMBER(SEARCH(Invoice!$Q$14,C179)),N179,"")</f>
        <v/>
      </c>
      <c r="P179" s="74" t="str">
        <f>IFERROR(SMALL(O179:O646,ROWS($O$2:O179)),"")</f>
        <v/>
      </c>
    </row>
    <row r="180" spans="1:18" x14ac:dyDescent="0.3">
      <c r="A180" s="44"/>
      <c r="B180" s="45"/>
      <c r="C180" s="45"/>
      <c r="D180" s="45"/>
      <c r="E180" s="45"/>
      <c r="F180" s="45"/>
      <c r="G180" s="45"/>
      <c r="H180" s="64"/>
      <c r="I180" s="64"/>
      <c r="J180" s="64"/>
      <c r="K180" s="64"/>
      <c r="L180" s="45"/>
      <c r="M180" s="43"/>
      <c r="N180" s="71">
        <f>ROW()</f>
        <v>180</v>
      </c>
      <c r="O180" s="71" t="str">
        <f>IF(ISNUMBER(SEARCH(Invoice!$Q$14,C180)),N180,"")</f>
        <v/>
      </c>
      <c r="P180" s="74" t="str">
        <f>IFERROR(SMALL(O180:O647,ROWS($O$2:O180)),"")</f>
        <v/>
      </c>
      <c r="Q180" s="43"/>
      <c r="R180" s="43"/>
    </row>
    <row r="181" spans="1:18" x14ac:dyDescent="0.3">
      <c r="A181" s="39"/>
      <c r="B181" s="40"/>
      <c r="C181" s="40"/>
      <c r="D181" s="40"/>
      <c r="E181" s="40"/>
      <c r="F181" s="40"/>
      <c r="G181" s="40"/>
      <c r="H181" s="63"/>
      <c r="I181" s="63"/>
      <c r="J181" s="63"/>
      <c r="K181" s="63"/>
      <c r="L181" s="40"/>
      <c r="N181" s="71">
        <f>ROW()</f>
        <v>181</v>
      </c>
      <c r="O181" s="71" t="str">
        <f>IF(ISNUMBER(SEARCH(Invoice!$Q$14,C181)),N181,"")</f>
        <v/>
      </c>
      <c r="P181" s="74" t="str">
        <f>IFERROR(SMALL(O181:O648,ROWS($O$2:O181)),"")</f>
        <v/>
      </c>
    </row>
    <row r="182" spans="1:18" x14ac:dyDescent="0.3">
      <c r="A182" s="44"/>
      <c r="B182" s="45"/>
      <c r="C182" s="45"/>
      <c r="D182" s="45"/>
      <c r="E182" s="45"/>
      <c r="F182" s="45"/>
      <c r="G182" s="45"/>
      <c r="H182" s="64"/>
      <c r="I182" s="64"/>
      <c r="J182" s="64"/>
      <c r="K182" s="64"/>
      <c r="L182" s="45"/>
      <c r="M182" s="43"/>
      <c r="N182" s="71">
        <f>ROW()</f>
        <v>182</v>
      </c>
      <c r="O182" s="71" t="str">
        <f>IF(ISNUMBER(SEARCH(Invoice!$Q$14,C182)),N182,"")</f>
        <v/>
      </c>
      <c r="P182" s="74" t="str">
        <f>IFERROR(SMALL(O182:O649,ROWS($O$2:O182)),"")</f>
        <v/>
      </c>
      <c r="Q182" s="43"/>
      <c r="R182" s="43"/>
    </row>
    <row r="183" spans="1:18" x14ac:dyDescent="0.3">
      <c r="A183" s="39"/>
      <c r="B183" s="40"/>
      <c r="C183" s="40"/>
      <c r="D183" s="40"/>
      <c r="E183" s="40"/>
      <c r="F183" s="40"/>
      <c r="G183" s="40"/>
      <c r="H183" s="63"/>
      <c r="I183" s="63"/>
      <c r="J183" s="63"/>
      <c r="K183" s="63"/>
      <c r="L183" s="40"/>
      <c r="N183" s="71">
        <f>ROW()</f>
        <v>183</v>
      </c>
      <c r="O183" s="71" t="str">
        <f>IF(ISNUMBER(SEARCH(Invoice!$Q$14,C183)),N183,"")</f>
        <v/>
      </c>
      <c r="P183" s="74" t="str">
        <f>IFERROR(SMALL(O183:O650,ROWS($O$2:O183)),"")</f>
        <v/>
      </c>
    </row>
    <row r="184" spans="1:18" x14ac:dyDescent="0.3">
      <c r="A184" s="44"/>
      <c r="B184" s="45"/>
      <c r="C184" s="45"/>
      <c r="D184" s="45"/>
      <c r="E184" s="45"/>
      <c r="F184" s="45"/>
      <c r="G184" s="45"/>
      <c r="H184" s="64"/>
      <c r="I184" s="64"/>
      <c r="J184" s="64"/>
      <c r="K184" s="64"/>
      <c r="L184" s="45"/>
      <c r="M184" s="43"/>
      <c r="N184" s="71">
        <f>ROW()</f>
        <v>184</v>
      </c>
      <c r="O184" s="71" t="str">
        <f>IF(ISNUMBER(SEARCH(Invoice!$Q$14,C184)),N184,"")</f>
        <v/>
      </c>
      <c r="P184" s="74" t="str">
        <f>IFERROR(SMALL(O184:O651,ROWS($O$2:O184)),"")</f>
        <v/>
      </c>
      <c r="Q184" s="43"/>
      <c r="R184" s="43"/>
    </row>
    <row r="185" spans="1:18" x14ac:dyDescent="0.3">
      <c r="A185" s="39"/>
      <c r="B185" s="40"/>
      <c r="C185" s="40"/>
      <c r="D185" s="40"/>
      <c r="E185" s="40"/>
      <c r="F185" s="40"/>
      <c r="G185" s="40"/>
      <c r="H185" s="63"/>
      <c r="I185" s="63"/>
      <c r="J185" s="63"/>
      <c r="K185" s="63"/>
      <c r="L185" s="40"/>
      <c r="N185" s="71">
        <f>ROW()</f>
        <v>185</v>
      </c>
      <c r="O185" s="71" t="str">
        <f>IF(ISNUMBER(SEARCH(Invoice!$Q$14,C185)),N185,"")</f>
        <v/>
      </c>
      <c r="P185" s="74" t="str">
        <f>IFERROR(SMALL(O185:O652,ROWS($O$2:O185)),"")</f>
        <v/>
      </c>
    </row>
    <row r="186" spans="1:18" x14ac:dyDescent="0.3">
      <c r="A186" s="44"/>
      <c r="B186" s="45"/>
      <c r="C186" s="45"/>
      <c r="D186" s="45"/>
      <c r="E186" s="45"/>
      <c r="F186" s="45"/>
      <c r="G186" s="45"/>
      <c r="H186" s="64"/>
      <c r="I186" s="64"/>
      <c r="J186" s="64"/>
      <c r="K186" s="64"/>
      <c r="L186" s="45"/>
      <c r="M186" s="43"/>
      <c r="N186" s="71">
        <f>ROW()</f>
        <v>186</v>
      </c>
      <c r="O186" s="71" t="str">
        <f>IF(ISNUMBER(SEARCH(Invoice!$Q$14,C186)),N186,"")</f>
        <v/>
      </c>
      <c r="P186" s="74" t="str">
        <f>IFERROR(SMALL(O186:O653,ROWS($O$2:O186)),"")</f>
        <v/>
      </c>
      <c r="Q186" s="43"/>
      <c r="R186" s="43"/>
    </row>
    <row r="187" spans="1:18" x14ac:dyDescent="0.3">
      <c r="A187" s="39"/>
      <c r="B187" s="40"/>
      <c r="C187" s="40"/>
      <c r="D187" s="40"/>
      <c r="E187" s="40"/>
      <c r="F187" s="40"/>
      <c r="G187" s="40"/>
      <c r="H187" s="63"/>
      <c r="I187" s="63"/>
      <c r="J187" s="63"/>
      <c r="K187" s="63"/>
      <c r="L187" s="40"/>
      <c r="N187" s="71">
        <f>ROW()</f>
        <v>187</v>
      </c>
      <c r="O187" s="71" t="str">
        <f>IF(ISNUMBER(SEARCH(Invoice!$Q$14,C187)),N187,"")</f>
        <v/>
      </c>
      <c r="P187" s="74" t="str">
        <f>IFERROR(SMALL(O187:O654,ROWS($O$2:O187)),"")</f>
        <v/>
      </c>
    </row>
    <row r="188" spans="1:18" x14ac:dyDescent="0.3">
      <c r="A188" s="44"/>
      <c r="B188" s="45"/>
      <c r="C188" s="45"/>
      <c r="D188" s="45"/>
      <c r="E188" s="45"/>
      <c r="F188" s="45"/>
      <c r="G188" s="45"/>
      <c r="H188" s="64"/>
      <c r="I188" s="64"/>
      <c r="J188" s="64"/>
      <c r="K188" s="64"/>
      <c r="L188" s="45"/>
      <c r="M188" s="43"/>
      <c r="N188" s="71">
        <f>ROW()</f>
        <v>188</v>
      </c>
      <c r="O188" s="71" t="str">
        <f>IF(ISNUMBER(SEARCH(Invoice!$Q$14,C188)),N188,"")</f>
        <v/>
      </c>
      <c r="P188" s="74" t="str">
        <f>IFERROR(SMALL(O188:O655,ROWS($O$2:O188)),"")</f>
        <v/>
      </c>
      <c r="Q188" s="43"/>
      <c r="R188" s="43"/>
    </row>
    <row r="189" spans="1:18" x14ac:dyDescent="0.3">
      <c r="A189" s="39"/>
      <c r="B189" s="40"/>
      <c r="C189" s="40"/>
      <c r="D189" s="40"/>
      <c r="E189" s="40"/>
      <c r="F189" s="40"/>
      <c r="G189" s="40"/>
      <c r="H189" s="63"/>
      <c r="I189" s="63"/>
      <c r="J189" s="63"/>
      <c r="K189" s="63"/>
      <c r="L189" s="40"/>
      <c r="N189" s="71">
        <f>ROW()</f>
        <v>189</v>
      </c>
      <c r="O189" s="71" t="str">
        <f>IF(ISNUMBER(SEARCH(Invoice!$Q$14,C189)),N189,"")</f>
        <v/>
      </c>
      <c r="P189" s="74" t="str">
        <f>IFERROR(SMALL(O189:O656,ROWS($O$2:O189)),"")</f>
        <v/>
      </c>
    </row>
    <row r="190" spans="1:18" x14ac:dyDescent="0.3">
      <c r="A190" s="44"/>
      <c r="B190" s="45"/>
      <c r="C190" s="45"/>
      <c r="D190" s="45"/>
      <c r="E190" s="45"/>
      <c r="F190" s="45"/>
      <c r="G190" s="45"/>
      <c r="H190" s="64"/>
      <c r="I190" s="64"/>
      <c r="J190" s="64"/>
      <c r="K190" s="64"/>
      <c r="L190" s="45"/>
      <c r="M190" s="43"/>
      <c r="N190" s="71">
        <f>ROW()</f>
        <v>190</v>
      </c>
      <c r="O190" s="71" t="str">
        <f>IF(ISNUMBER(SEARCH(Invoice!$Q$14,C190)),N190,"")</f>
        <v/>
      </c>
      <c r="P190" s="74" t="str">
        <f>IFERROR(SMALL(O190:O657,ROWS($O$2:O190)),"")</f>
        <v/>
      </c>
      <c r="Q190" s="43"/>
      <c r="R190" s="43"/>
    </row>
    <row r="191" spans="1:18" x14ac:dyDescent="0.3">
      <c r="A191" s="39"/>
      <c r="B191" s="40"/>
      <c r="C191" s="40"/>
      <c r="D191" s="40"/>
      <c r="E191" s="40"/>
      <c r="F191" s="40"/>
      <c r="G191" s="40"/>
      <c r="H191" s="63"/>
      <c r="I191" s="63"/>
      <c r="J191" s="63"/>
      <c r="K191" s="63"/>
      <c r="L191" s="40"/>
      <c r="N191" s="71">
        <f>ROW()</f>
        <v>191</v>
      </c>
      <c r="O191" s="71" t="str">
        <f>IF(ISNUMBER(SEARCH(Invoice!$Q$14,C191)),N191,"")</f>
        <v/>
      </c>
      <c r="P191" s="74" t="str">
        <f>IFERROR(SMALL(O191:O658,ROWS($O$2:O191)),"")</f>
        <v/>
      </c>
    </row>
    <row r="192" spans="1:18" x14ac:dyDescent="0.3">
      <c r="A192" s="44"/>
      <c r="B192" s="45"/>
      <c r="C192" s="45"/>
      <c r="D192" s="45"/>
      <c r="E192" s="45"/>
      <c r="F192" s="45"/>
      <c r="G192" s="45"/>
      <c r="H192" s="64"/>
      <c r="I192" s="64"/>
      <c r="J192" s="64"/>
      <c r="K192" s="64"/>
      <c r="L192" s="45"/>
      <c r="M192" s="43"/>
      <c r="N192" s="71">
        <f>ROW()</f>
        <v>192</v>
      </c>
      <c r="O192" s="71" t="str">
        <f>IF(ISNUMBER(SEARCH(Invoice!$Q$14,C192)),N192,"")</f>
        <v/>
      </c>
      <c r="P192" s="74" t="str">
        <f>IFERROR(SMALL(O192:O659,ROWS($O$2:O192)),"")</f>
        <v/>
      </c>
      <c r="Q192" s="43"/>
      <c r="R192" s="43"/>
    </row>
    <row r="193" spans="1:18" x14ac:dyDescent="0.3">
      <c r="A193" s="39"/>
      <c r="B193" s="40"/>
      <c r="C193" s="40"/>
      <c r="D193" s="40"/>
      <c r="E193" s="40"/>
      <c r="F193" s="40"/>
      <c r="G193" s="40"/>
      <c r="H193" s="63"/>
      <c r="I193" s="63"/>
      <c r="J193" s="63"/>
      <c r="K193" s="63"/>
      <c r="L193" s="40"/>
      <c r="N193" s="71">
        <f>ROW()</f>
        <v>193</v>
      </c>
      <c r="O193" s="71" t="str">
        <f>IF(ISNUMBER(SEARCH(Invoice!$Q$14,C193)),N193,"")</f>
        <v/>
      </c>
      <c r="P193" s="74" t="str">
        <f>IFERROR(SMALL(O193:O660,ROWS($O$2:O193)),"")</f>
        <v/>
      </c>
    </row>
    <row r="194" spans="1:18" x14ac:dyDescent="0.3">
      <c r="A194" s="44"/>
      <c r="B194" s="45"/>
      <c r="C194" s="45"/>
      <c r="D194" s="45"/>
      <c r="E194" s="45"/>
      <c r="F194" s="45"/>
      <c r="G194" s="45"/>
      <c r="H194" s="64"/>
      <c r="I194" s="64"/>
      <c r="J194" s="64"/>
      <c r="K194" s="64"/>
      <c r="L194" s="45"/>
      <c r="M194" s="43"/>
      <c r="N194" s="71">
        <f>ROW()</f>
        <v>194</v>
      </c>
      <c r="O194" s="71" t="str">
        <f>IF(ISNUMBER(SEARCH(Invoice!$Q$14,C194)),N194,"")</f>
        <v/>
      </c>
      <c r="P194" s="74" t="str">
        <f>IFERROR(SMALL(O194:O661,ROWS($O$2:O194)),"")</f>
        <v/>
      </c>
      <c r="Q194" s="43"/>
      <c r="R194" s="43"/>
    </row>
    <row r="195" spans="1:18" x14ac:dyDescent="0.3">
      <c r="A195" s="39"/>
      <c r="B195" s="40"/>
      <c r="C195" s="40"/>
      <c r="D195" s="40"/>
      <c r="E195" s="40"/>
      <c r="F195" s="40"/>
      <c r="G195" s="40"/>
      <c r="H195" s="63"/>
      <c r="I195" s="63"/>
      <c r="J195" s="63"/>
      <c r="K195" s="63"/>
      <c r="L195" s="40"/>
      <c r="N195" s="71">
        <f>ROW()</f>
        <v>195</v>
      </c>
      <c r="O195" s="71" t="str">
        <f>IF(ISNUMBER(SEARCH(Invoice!$Q$14,C195)),N195,"")</f>
        <v/>
      </c>
      <c r="P195" s="74" t="str">
        <f>IFERROR(SMALL(O195:O662,ROWS($O$2:O195)),"")</f>
        <v/>
      </c>
    </row>
    <row r="196" spans="1:18" x14ac:dyDescent="0.3">
      <c r="A196" s="44"/>
      <c r="B196" s="45"/>
      <c r="C196" s="45"/>
      <c r="D196" s="45"/>
      <c r="E196" s="45"/>
      <c r="F196" s="45"/>
      <c r="G196" s="45"/>
      <c r="H196" s="64"/>
      <c r="I196" s="64"/>
      <c r="J196" s="64"/>
      <c r="K196" s="64"/>
      <c r="L196" s="45"/>
      <c r="M196" s="43"/>
      <c r="N196" s="71">
        <f>ROW()</f>
        <v>196</v>
      </c>
      <c r="O196" s="71" t="str">
        <f>IF(ISNUMBER(SEARCH(Invoice!$Q$14,C196)),N196,"")</f>
        <v/>
      </c>
      <c r="P196" s="74" t="str">
        <f>IFERROR(SMALL(O196:O663,ROWS($O$2:O196)),"")</f>
        <v/>
      </c>
      <c r="Q196" s="43"/>
      <c r="R196" s="43"/>
    </row>
    <row r="197" spans="1:18" x14ac:dyDescent="0.3">
      <c r="A197" s="39"/>
      <c r="B197" s="40"/>
      <c r="C197" s="40"/>
      <c r="D197" s="40"/>
      <c r="E197" s="40"/>
      <c r="F197" s="40"/>
      <c r="G197" s="40"/>
      <c r="H197" s="63"/>
      <c r="I197" s="63"/>
      <c r="J197" s="63"/>
      <c r="K197" s="63"/>
      <c r="L197" s="40"/>
      <c r="N197" s="71">
        <f>ROW()</f>
        <v>197</v>
      </c>
      <c r="O197" s="71" t="str">
        <f>IF(ISNUMBER(SEARCH(Invoice!$Q$14,C197)),N197,"")</f>
        <v/>
      </c>
      <c r="P197" s="74" t="str">
        <f>IFERROR(SMALL(O197:O664,ROWS($O$2:O197)),"")</f>
        <v/>
      </c>
    </row>
    <row r="198" spans="1:18" x14ac:dyDescent="0.3">
      <c r="A198" s="44"/>
      <c r="B198" s="45"/>
      <c r="C198" s="45"/>
      <c r="D198" s="45"/>
      <c r="E198" s="45"/>
      <c r="F198" s="45"/>
      <c r="G198" s="45"/>
      <c r="H198" s="64"/>
      <c r="I198" s="64"/>
      <c r="J198" s="64"/>
      <c r="K198" s="64"/>
      <c r="L198" s="45"/>
      <c r="M198" s="43"/>
      <c r="N198" s="71">
        <f>ROW()</f>
        <v>198</v>
      </c>
      <c r="O198" s="71" t="str">
        <f>IF(ISNUMBER(SEARCH(Invoice!$Q$14,C198)),N198,"")</f>
        <v/>
      </c>
      <c r="P198" s="74" t="str">
        <f>IFERROR(SMALL(O198:O665,ROWS($O$2:O198)),"")</f>
        <v/>
      </c>
      <c r="Q198" s="43"/>
      <c r="R198" s="43"/>
    </row>
    <row r="199" spans="1:18" x14ac:dyDescent="0.3">
      <c r="A199" s="39"/>
      <c r="B199" s="40"/>
      <c r="C199" s="40"/>
      <c r="D199" s="40"/>
      <c r="E199" s="40"/>
      <c r="F199" s="40"/>
      <c r="G199" s="40"/>
      <c r="H199" s="63"/>
      <c r="I199" s="63"/>
      <c r="J199" s="63"/>
      <c r="K199" s="63"/>
      <c r="L199" s="40"/>
      <c r="N199" s="71">
        <f>ROW()</f>
        <v>199</v>
      </c>
      <c r="O199" s="71" t="str">
        <f>IF(ISNUMBER(SEARCH(Invoice!$Q$14,C199)),N199,"")</f>
        <v/>
      </c>
      <c r="P199" s="74" t="str">
        <f>IFERROR(SMALL(O199:O666,ROWS($O$2:O199)),"")</f>
        <v/>
      </c>
    </row>
    <row r="200" spans="1:18" x14ac:dyDescent="0.3">
      <c r="A200" s="44"/>
      <c r="B200" s="45"/>
      <c r="C200" s="45"/>
      <c r="D200" s="45"/>
      <c r="E200" s="45"/>
      <c r="F200" s="45"/>
      <c r="G200" s="45"/>
      <c r="H200" s="64"/>
      <c r="I200" s="64"/>
      <c r="J200" s="64"/>
      <c r="K200" s="64"/>
      <c r="L200" s="45"/>
      <c r="M200" s="43"/>
      <c r="N200" s="71">
        <f>ROW()</f>
        <v>200</v>
      </c>
      <c r="O200" s="71" t="str">
        <f>IF(ISNUMBER(SEARCH(Invoice!$Q$14,C200)),N200,"")</f>
        <v/>
      </c>
      <c r="P200" s="74" t="str">
        <f>IFERROR(SMALL(O200:O667,ROWS($O$2:O200)),"")</f>
        <v/>
      </c>
      <c r="Q200" s="43"/>
      <c r="R200" s="43"/>
    </row>
    <row r="201" spans="1:18" x14ac:dyDescent="0.3">
      <c r="A201" s="39"/>
      <c r="B201" s="40"/>
      <c r="C201" s="40"/>
      <c r="D201" s="40"/>
      <c r="E201" s="40"/>
      <c r="F201" s="40"/>
      <c r="G201" s="40"/>
      <c r="H201" s="63"/>
      <c r="I201" s="63"/>
      <c r="J201" s="63"/>
      <c r="K201" s="63"/>
      <c r="L201" s="40"/>
      <c r="N201" s="71">
        <f>ROW()</f>
        <v>201</v>
      </c>
      <c r="O201" s="71" t="str">
        <f>IF(ISNUMBER(SEARCH(Invoice!$Q$14,C201)),N201,"")</f>
        <v/>
      </c>
      <c r="P201" s="74" t="str">
        <f>IFERROR(SMALL(O201:O668,ROWS($O$2:O201)),"")</f>
        <v/>
      </c>
    </row>
    <row r="202" spans="1:18" x14ac:dyDescent="0.3">
      <c r="A202" s="44"/>
      <c r="B202" s="45"/>
      <c r="C202" s="45"/>
      <c r="D202" s="45"/>
      <c r="E202" s="45"/>
      <c r="F202" s="45"/>
      <c r="G202" s="45"/>
      <c r="H202" s="64"/>
      <c r="I202" s="64"/>
      <c r="J202" s="64"/>
      <c r="K202" s="64"/>
      <c r="L202" s="45"/>
      <c r="M202" s="43"/>
      <c r="N202" s="71">
        <f>ROW()</f>
        <v>202</v>
      </c>
      <c r="O202" s="71" t="str">
        <f>IF(ISNUMBER(SEARCH(Invoice!$Q$14,C202)),N202,"")</f>
        <v/>
      </c>
      <c r="P202" s="74" t="str">
        <f>IFERROR(SMALL(O202:O669,ROWS($O$2:O202)),"")</f>
        <v/>
      </c>
      <c r="Q202" s="43"/>
      <c r="R202" s="43"/>
    </row>
    <row r="203" spans="1:18" x14ac:dyDescent="0.3">
      <c r="A203" s="39"/>
      <c r="B203" s="40"/>
      <c r="C203" s="40"/>
      <c r="D203" s="40"/>
      <c r="E203" s="40"/>
      <c r="F203" s="40"/>
      <c r="G203" s="40"/>
      <c r="H203" s="63"/>
      <c r="I203" s="63"/>
      <c r="J203" s="63"/>
      <c r="K203" s="63"/>
      <c r="L203" s="40"/>
      <c r="N203" s="71">
        <f>ROW()</f>
        <v>203</v>
      </c>
      <c r="O203" s="71" t="str">
        <f>IF(ISNUMBER(SEARCH(Invoice!$Q$14,C203)),N203,"")</f>
        <v/>
      </c>
      <c r="P203" s="74" t="str">
        <f>IFERROR(SMALL(O203:O670,ROWS($O$2:O203)),"")</f>
        <v/>
      </c>
    </row>
    <row r="204" spans="1:18" x14ac:dyDescent="0.3">
      <c r="A204" s="44"/>
      <c r="B204" s="45"/>
      <c r="C204" s="45"/>
      <c r="D204" s="45"/>
      <c r="E204" s="45"/>
      <c r="F204" s="45"/>
      <c r="G204" s="45"/>
      <c r="H204" s="64"/>
      <c r="I204" s="64"/>
      <c r="J204" s="64"/>
      <c r="K204" s="64"/>
      <c r="L204" s="45"/>
      <c r="M204" s="43"/>
      <c r="N204" s="71">
        <f>ROW()</f>
        <v>204</v>
      </c>
      <c r="O204" s="71" t="str">
        <f>IF(ISNUMBER(SEARCH(Invoice!$Q$14,C204)),N204,"")</f>
        <v/>
      </c>
      <c r="P204" s="74" t="str">
        <f>IFERROR(SMALL(O204:O671,ROWS($O$2:O204)),"")</f>
        <v/>
      </c>
      <c r="Q204" s="43"/>
      <c r="R204" s="43"/>
    </row>
    <row r="205" spans="1:18" x14ac:dyDescent="0.3">
      <c r="A205" s="39"/>
      <c r="B205" s="40"/>
      <c r="C205" s="40"/>
      <c r="D205" s="40"/>
      <c r="E205" s="40"/>
      <c r="F205" s="40"/>
      <c r="G205" s="40"/>
      <c r="H205" s="63"/>
      <c r="I205" s="63"/>
      <c r="J205" s="63"/>
      <c r="K205" s="63"/>
      <c r="L205" s="40"/>
      <c r="N205" s="71">
        <f>ROW()</f>
        <v>205</v>
      </c>
      <c r="O205" s="71" t="str">
        <f>IF(ISNUMBER(SEARCH(Invoice!$Q$14,C205)),N205,"")</f>
        <v/>
      </c>
      <c r="P205" s="74" t="str">
        <f>IFERROR(SMALL(O205:O672,ROWS($O$2:O205)),"")</f>
        <v/>
      </c>
    </row>
    <row r="206" spans="1:18" x14ac:dyDescent="0.3">
      <c r="A206" s="44"/>
      <c r="B206" s="45"/>
      <c r="C206" s="45"/>
      <c r="D206" s="45"/>
      <c r="E206" s="45"/>
      <c r="F206" s="45"/>
      <c r="G206" s="45"/>
      <c r="H206" s="64"/>
      <c r="I206" s="64"/>
      <c r="J206" s="64"/>
      <c r="K206" s="64"/>
      <c r="L206" s="45"/>
      <c r="M206" s="43"/>
      <c r="N206" s="71">
        <f>ROW()</f>
        <v>206</v>
      </c>
      <c r="O206" s="71" t="str">
        <f>IF(ISNUMBER(SEARCH(Invoice!$Q$14,C206)),N206,"")</f>
        <v/>
      </c>
      <c r="P206" s="74" t="str">
        <f>IFERROR(SMALL(O206:O673,ROWS($O$2:O206)),"")</f>
        <v/>
      </c>
      <c r="Q206" s="43"/>
      <c r="R206" s="43"/>
    </row>
    <row r="207" spans="1:18" x14ac:dyDescent="0.3">
      <c r="A207" s="39"/>
      <c r="B207" s="40"/>
      <c r="C207" s="40"/>
      <c r="D207" s="40"/>
      <c r="E207" s="40"/>
      <c r="F207" s="40"/>
      <c r="G207" s="40"/>
      <c r="H207" s="63"/>
      <c r="I207" s="63"/>
      <c r="J207" s="63"/>
      <c r="K207" s="63"/>
      <c r="L207" s="40"/>
      <c r="N207" s="71">
        <f>ROW()</f>
        <v>207</v>
      </c>
      <c r="O207" s="71" t="str">
        <f>IF(ISNUMBER(SEARCH(Invoice!$Q$14,C207)),N207,"")</f>
        <v/>
      </c>
      <c r="P207" s="74" t="str">
        <f>IFERROR(SMALL(O207:O674,ROWS($O$2:O207)),"")</f>
        <v/>
      </c>
    </row>
    <row r="208" spans="1:18" x14ac:dyDescent="0.3">
      <c r="A208" s="44"/>
      <c r="B208" s="45"/>
      <c r="C208" s="45"/>
      <c r="D208" s="45"/>
      <c r="E208" s="45"/>
      <c r="F208" s="45"/>
      <c r="G208" s="45"/>
      <c r="H208" s="64"/>
      <c r="I208" s="64"/>
      <c r="J208" s="64"/>
      <c r="K208" s="64"/>
      <c r="L208" s="45"/>
      <c r="M208" s="43"/>
      <c r="N208" s="71">
        <f>ROW()</f>
        <v>208</v>
      </c>
      <c r="O208" s="71" t="str">
        <f>IF(ISNUMBER(SEARCH(Invoice!$Q$14,C208)),N208,"")</f>
        <v/>
      </c>
      <c r="P208" s="74" t="str">
        <f>IFERROR(SMALL(O208:O675,ROWS($O$2:O208)),"")</f>
        <v/>
      </c>
      <c r="Q208" s="43"/>
      <c r="R208" s="43"/>
    </row>
    <row r="209" spans="1:18" x14ac:dyDescent="0.3">
      <c r="A209" s="39"/>
      <c r="B209" s="40"/>
      <c r="C209" s="40"/>
      <c r="D209" s="40"/>
      <c r="E209" s="40"/>
      <c r="F209" s="40"/>
      <c r="G209" s="40"/>
      <c r="H209" s="63"/>
      <c r="I209" s="63"/>
      <c r="J209" s="63"/>
      <c r="K209" s="63"/>
      <c r="L209" s="40"/>
      <c r="N209" s="71">
        <f>ROW()</f>
        <v>209</v>
      </c>
      <c r="O209" s="71" t="str">
        <f>IF(ISNUMBER(SEARCH(Invoice!$Q$14,C209)),N209,"")</f>
        <v/>
      </c>
      <c r="P209" s="74" t="str">
        <f>IFERROR(SMALL(O209:O676,ROWS($O$2:O209)),"")</f>
        <v/>
      </c>
    </row>
    <row r="210" spans="1:18" x14ac:dyDescent="0.3">
      <c r="A210" s="44"/>
      <c r="B210" s="45"/>
      <c r="C210" s="45"/>
      <c r="D210" s="45"/>
      <c r="E210" s="45"/>
      <c r="F210" s="45"/>
      <c r="G210" s="45"/>
      <c r="H210" s="64"/>
      <c r="I210" s="64"/>
      <c r="J210" s="64"/>
      <c r="K210" s="64"/>
      <c r="L210" s="45"/>
      <c r="M210" s="43"/>
      <c r="N210" s="71">
        <f>ROW()</f>
        <v>210</v>
      </c>
      <c r="O210" s="71" t="str">
        <f>IF(ISNUMBER(SEARCH(Invoice!$Q$14,C210)),N210,"")</f>
        <v/>
      </c>
      <c r="P210" s="74" t="str">
        <f>IFERROR(SMALL(O210:O677,ROWS($O$2:O210)),"")</f>
        <v/>
      </c>
      <c r="Q210" s="43"/>
      <c r="R210" s="43"/>
    </row>
    <row r="211" spans="1:18" x14ac:dyDescent="0.3">
      <c r="A211" s="39"/>
      <c r="B211" s="40"/>
      <c r="C211" s="40"/>
      <c r="D211" s="40"/>
      <c r="E211" s="40"/>
      <c r="F211" s="40"/>
      <c r="G211" s="40"/>
      <c r="H211" s="63"/>
      <c r="I211" s="63"/>
      <c r="J211" s="63"/>
      <c r="K211" s="63"/>
      <c r="L211" s="40"/>
      <c r="N211" s="71">
        <f>ROW()</f>
        <v>211</v>
      </c>
      <c r="O211" s="71" t="str">
        <f>IF(ISNUMBER(SEARCH(Invoice!$Q$14,C211)),N211,"")</f>
        <v/>
      </c>
      <c r="P211" s="74" t="str">
        <f>IFERROR(SMALL(O211:O678,ROWS($O$2:O211)),"")</f>
        <v/>
      </c>
    </row>
    <row r="212" spans="1:18" x14ac:dyDescent="0.3">
      <c r="A212" s="44"/>
      <c r="B212" s="45"/>
      <c r="C212" s="45"/>
      <c r="D212" s="45"/>
      <c r="E212" s="45"/>
      <c r="F212" s="45"/>
      <c r="G212" s="45"/>
      <c r="H212" s="64"/>
      <c r="I212" s="64"/>
      <c r="J212" s="64"/>
      <c r="K212" s="64"/>
      <c r="L212" s="45"/>
      <c r="M212" s="43"/>
      <c r="N212" s="71">
        <f>ROW()</f>
        <v>212</v>
      </c>
      <c r="O212" s="71" t="str">
        <f>IF(ISNUMBER(SEARCH(Invoice!$Q$14,C212)),N212,"")</f>
        <v/>
      </c>
      <c r="P212" s="74" t="str">
        <f>IFERROR(SMALL(O212:O679,ROWS($O$2:O212)),"")</f>
        <v/>
      </c>
      <c r="Q212" s="43"/>
      <c r="R212" s="43"/>
    </row>
    <row r="213" spans="1:18" x14ac:dyDescent="0.3">
      <c r="A213" s="39"/>
      <c r="B213" s="40"/>
      <c r="C213" s="40"/>
      <c r="D213" s="40"/>
      <c r="E213" s="40"/>
      <c r="F213" s="40"/>
      <c r="G213" s="40"/>
      <c r="H213" s="63"/>
      <c r="I213" s="63"/>
      <c r="J213" s="63"/>
      <c r="K213" s="63"/>
      <c r="L213" s="40"/>
      <c r="N213" s="71">
        <f>ROW()</f>
        <v>213</v>
      </c>
      <c r="O213" s="71" t="str">
        <f>IF(ISNUMBER(SEARCH(Invoice!$Q$14,C213)),N213,"")</f>
        <v/>
      </c>
      <c r="P213" s="74" t="str">
        <f>IFERROR(SMALL(O213:O680,ROWS($O$2:O213)),"")</f>
        <v/>
      </c>
    </row>
    <row r="214" spans="1:18" x14ac:dyDescent="0.3">
      <c r="A214" s="44"/>
      <c r="B214" s="45"/>
      <c r="C214" s="45"/>
      <c r="D214" s="45"/>
      <c r="E214" s="45"/>
      <c r="F214" s="45"/>
      <c r="G214" s="45"/>
      <c r="H214" s="64"/>
      <c r="I214" s="64"/>
      <c r="J214" s="64"/>
      <c r="K214" s="64"/>
      <c r="L214" s="45"/>
      <c r="M214" s="43"/>
      <c r="N214" s="71">
        <f>ROW()</f>
        <v>214</v>
      </c>
      <c r="O214" s="71" t="str">
        <f>IF(ISNUMBER(SEARCH(Invoice!$Q$14,C214)),N214,"")</f>
        <v/>
      </c>
      <c r="P214" s="74" t="str">
        <f>IFERROR(SMALL(O214:O681,ROWS($O$2:O214)),"")</f>
        <v/>
      </c>
      <c r="Q214" s="43"/>
      <c r="R214" s="43"/>
    </row>
    <row r="215" spans="1:18" x14ac:dyDescent="0.3">
      <c r="A215" s="39"/>
      <c r="B215" s="40"/>
      <c r="C215" s="40"/>
      <c r="D215" s="40"/>
      <c r="E215" s="40"/>
      <c r="F215" s="40"/>
      <c r="G215" s="40"/>
      <c r="H215" s="63"/>
      <c r="I215" s="63"/>
      <c r="J215" s="63"/>
      <c r="K215" s="63"/>
      <c r="L215" s="40"/>
      <c r="N215" s="71">
        <f>ROW()</f>
        <v>215</v>
      </c>
      <c r="O215" s="71" t="str">
        <f>IF(ISNUMBER(SEARCH(Invoice!$Q$14,C215)),N215,"")</f>
        <v/>
      </c>
      <c r="P215" s="74" t="str">
        <f>IFERROR(SMALL(O215:O682,ROWS($O$2:O215)),"")</f>
        <v/>
      </c>
    </row>
    <row r="216" spans="1:18" x14ac:dyDescent="0.3">
      <c r="A216" s="44"/>
      <c r="B216" s="45"/>
      <c r="C216" s="45"/>
      <c r="D216" s="45"/>
      <c r="E216" s="45"/>
      <c r="F216" s="45"/>
      <c r="G216" s="45"/>
      <c r="H216" s="64"/>
      <c r="I216" s="64"/>
      <c r="J216" s="64"/>
      <c r="K216" s="64"/>
      <c r="L216" s="45"/>
      <c r="M216" s="43"/>
      <c r="N216" s="71">
        <f>ROW()</f>
        <v>216</v>
      </c>
      <c r="O216" s="71" t="str">
        <f>IF(ISNUMBER(SEARCH(Invoice!$Q$14,C216)),N216,"")</f>
        <v/>
      </c>
      <c r="P216" s="74" t="str">
        <f>IFERROR(SMALL(O216:O683,ROWS($O$2:O216)),"")</f>
        <v/>
      </c>
      <c r="Q216" s="43"/>
      <c r="R216" s="43"/>
    </row>
    <row r="217" spans="1:18" x14ac:dyDescent="0.3">
      <c r="A217" s="39"/>
      <c r="B217" s="40"/>
      <c r="C217" s="40"/>
      <c r="D217" s="40"/>
      <c r="E217" s="40"/>
      <c r="F217" s="40"/>
      <c r="G217" s="40"/>
      <c r="H217" s="63"/>
      <c r="I217" s="63"/>
      <c r="J217" s="63"/>
      <c r="K217" s="63"/>
      <c r="L217" s="40"/>
      <c r="N217" s="71">
        <f>ROW()</f>
        <v>217</v>
      </c>
      <c r="O217" s="71" t="str">
        <f>IF(ISNUMBER(SEARCH(Invoice!$Q$14,C217)),N217,"")</f>
        <v/>
      </c>
      <c r="P217" s="74" t="str">
        <f>IFERROR(SMALL(O217:O684,ROWS($O$2:O217)),"")</f>
        <v/>
      </c>
    </row>
    <row r="218" spans="1:18" x14ac:dyDescent="0.3">
      <c r="A218" s="44"/>
      <c r="B218" s="45"/>
      <c r="C218" s="45"/>
      <c r="D218" s="45"/>
      <c r="E218" s="45"/>
      <c r="F218" s="45"/>
      <c r="G218" s="45"/>
      <c r="H218" s="64"/>
      <c r="I218" s="64"/>
      <c r="J218" s="64"/>
      <c r="K218" s="64"/>
      <c r="L218" s="45"/>
      <c r="M218" s="43"/>
      <c r="N218" s="71">
        <f>ROW()</f>
        <v>218</v>
      </c>
      <c r="O218" s="71" t="str">
        <f>IF(ISNUMBER(SEARCH(Invoice!$Q$14,C218)),N218,"")</f>
        <v/>
      </c>
      <c r="P218" s="74" t="str">
        <f>IFERROR(SMALL(O218:O685,ROWS($O$2:O218)),"")</f>
        <v/>
      </c>
      <c r="Q218" s="43"/>
      <c r="R218" s="43"/>
    </row>
    <row r="219" spans="1:18" x14ac:dyDescent="0.3">
      <c r="A219" s="39"/>
      <c r="B219" s="40"/>
      <c r="C219" s="40"/>
      <c r="D219" s="40"/>
      <c r="E219" s="40"/>
      <c r="F219" s="40"/>
      <c r="G219" s="40"/>
      <c r="H219" s="63"/>
      <c r="I219" s="63"/>
      <c r="J219" s="63"/>
      <c r="K219" s="63"/>
      <c r="L219" s="40"/>
      <c r="N219" s="71">
        <f>ROW()</f>
        <v>219</v>
      </c>
      <c r="O219" s="71" t="str">
        <f>IF(ISNUMBER(SEARCH(Invoice!$Q$14,C219)),N219,"")</f>
        <v/>
      </c>
      <c r="P219" s="74" t="str">
        <f>IFERROR(SMALL(O219:O686,ROWS($O$2:O219)),"")</f>
        <v/>
      </c>
    </row>
    <row r="220" spans="1:18" x14ac:dyDescent="0.3">
      <c r="A220" s="44"/>
      <c r="B220" s="45"/>
      <c r="C220" s="45"/>
      <c r="D220" s="45"/>
      <c r="E220" s="45"/>
      <c r="F220" s="45"/>
      <c r="G220" s="45"/>
      <c r="H220" s="64"/>
      <c r="I220" s="64"/>
      <c r="J220" s="64"/>
      <c r="K220" s="64"/>
      <c r="L220" s="45"/>
      <c r="M220" s="43"/>
      <c r="N220" s="71">
        <f>ROW()</f>
        <v>220</v>
      </c>
      <c r="O220" s="71" t="str">
        <f>IF(ISNUMBER(SEARCH(Invoice!$Q$14,C220)),N220,"")</f>
        <v/>
      </c>
      <c r="P220" s="74" t="str">
        <f>IFERROR(SMALL(O220:O687,ROWS($O$2:O220)),"")</f>
        <v/>
      </c>
      <c r="Q220" s="43"/>
      <c r="R220" s="43"/>
    </row>
    <row r="221" spans="1:18" x14ac:dyDescent="0.3">
      <c r="A221" s="39"/>
      <c r="B221" s="40"/>
      <c r="C221" s="40"/>
      <c r="D221" s="40"/>
      <c r="E221" s="40"/>
      <c r="F221" s="40"/>
      <c r="G221" s="40"/>
      <c r="H221" s="63"/>
      <c r="I221" s="63"/>
      <c r="J221" s="63"/>
      <c r="K221" s="63"/>
      <c r="L221" s="40"/>
      <c r="N221" s="71">
        <f>ROW()</f>
        <v>221</v>
      </c>
      <c r="O221" s="71" t="str">
        <f>IF(ISNUMBER(SEARCH(Invoice!$Q$14,C221)),N221,"")</f>
        <v/>
      </c>
      <c r="P221" s="74" t="str">
        <f>IFERROR(SMALL(O221:O688,ROWS($O$2:O221)),"")</f>
        <v/>
      </c>
    </row>
    <row r="222" spans="1:18" x14ac:dyDescent="0.3">
      <c r="A222" s="44"/>
      <c r="B222" s="45"/>
      <c r="C222" s="45"/>
      <c r="D222" s="45"/>
      <c r="E222" s="45"/>
      <c r="F222" s="45"/>
      <c r="G222" s="45"/>
      <c r="H222" s="64"/>
      <c r="I222" s="64"/>
      <c r="J222" s="64"/>
      <c r="K222" s="64"/>
      <c r="L222" s="45"/>
      <c r="M222" s="43"/>
      <c r="N222" s="71">
        <f>ROW()</f>
        <v>222</v>
      </c>
      <c r="O222" s="71" t="str">
        <f>IF(ISNUMBER(SEARCH(Invoice!$Q$14,C222)),N222,"")</f>
        <v/>
      </c>
      <c r="P222" s="74" t="str">
        <f>IFERROR(SMALL(O222:O689,ROWS($O$2:O222)),"")</f>
        <v/>
      </c>
      <c r="Q222" s="43"/>
      <c r="R222" s="43"/>
    </row>
    <row r="223" spans="1:18" x14ac:dyDescent="0.3">
      <c r="A223" s="39"/>
      <c r="B223" s="40"/>
      <c r="C223" s="40"/>
      <c r="D223" s="40"/>
      <c r="E223" s="40"/>
      <c r="F223" s="40"/>
      <c r="G223" s="40"/>
      <c r="H223" s="63"/>
      <c r="I223" s="63"/>
      <c r="J223" s="63"/>
      <c r="K223" s="63"/>
      <c r="L223" s="40"/>
      <c r="N223" s="71">
        <f>ROW()</f>
        <v>223</v>
      </c>
      <c r="O223" s="71" t="str">
        <f>IF(ISNUMBER(SEARCH(Invoice!$Q$14,C223)),N223,"")</f>
        <v/>
      </c>
      <c r="P223" s="74" t="str">
        <f>IFERROR(SMALL(O223:O690,ROWS($O$2:O223)),"")</f>
        <v/>
      </c>
    </row>
    <row r="224" spans="1:18" x14ac:dyDescent="0.3">
      <c r="A224" s="44"/>
      <c r="B224" s="45"/>
      <c r="C224" s="45"/>
      <c r="D224" s="45"/>
      <c r="E224" s="45"/>
      <c r="F224" s="45"/>
      <c r="G224" s="45"/>
      <c r="H224" s="64"/>
      <c r="I224" s="64"/>
      <c r="J224" s="64"/>
      <c r="K224" s="64"/>
      <c r="L224" s="45"/>
      <c r="M224" s="43"/>
      <c r="N224" s="71">
        <f>ROW()</f>
        <v>224</v>
      </c>
      <c r="O224" s="71" t="str">
        <f>IF(ISNUMBER(SEARCH(Invoice!$Q$14,C224)),N224,"")</f>
        <v/>
      </c>
      <c r="P224" s="74" t="str">
        <f>IFERROR(SMALL(O224:O691,ROWS($O$2:O224)),"")</f>
        <v/>
      </c>
      <c r="Q224" s="43"/>
      <c r="R224" s="43"/>
    </row>
    <row r="225" spans="1:18" x14ac:dyDescent="0.3">
      <c r="A225" s="39"/>
      <c r="B225" s="40"/>
      <c r="C225" s="40"/>
      <c r="D225" s="40"/>
      <c r="E225" s="40"/>
      <c r="F225" s="40"/>
      <c r="G225" s="40"/>
      <c r="H225" s="63"/>
      <c r="I225" s="63"/>
      <c r="J225" s="63"/>
      <c r="K225" s="63"/>
      <c r="L225" s="40"/>
      <c r="N225" s="71">
        <f>ROW()</f>
        <v>225</v>
      </c>
      <c r="O225" s="71" t="str">
        <f>IF(ISNUMBER(SEARCH(Invoice!$Q$14,C225)),N225,"")</f>
        <v/>
      </c>
      <c r="P225" s="74" t="str">
        <f>IFERROR(SMALL(O225:O692,ROWS($O$2:O225)),"")</f>
        <v/>
      </c>
    </row>
    <row r="226" spans="1:18" x14ac:dyDescent="0.3">
      <c r="A226" s="44"/>
      <c r="B226" s="45"/>
      <c r="C226" s="45"/>
      <c r="D226" s="45"/>
      <c r="E226" s="45"/>
      <c r="F226" s="45"/>
      <c r="G226" s="45"/>
      <c r="H226" s="64"/>
      <c r="I226" s="64"/>
      <c r="J226" s="64"/>
      <c r="K226" s="64"/>
      <c r="L226" s="45"/>
      <c r="M226" s="43"/>
      <c r="N226" s="71">
        <f>ROW()</f>
        <v>226</v>
      </c>
      <c r="O226" s="71" t="str">
        <f>IF(ISNUMBER(SEARCH(Invoice!$Q$14,C226)),N226,"")</f>
        <v/>
      </c>
      <c r="P226" s="74" t="str">
        <f>IFERROR(SMALL(O226:O693,ROWS($O$2:O226)),"")</f>
        <v/>
      </c>
      <c r="Q226" s="43"/>
      <c r="R226" s="43"/>
    </row>
    <row r="227" spans="1:18" x14ac:dyDescent="0.3">
      <c r="A227" s="39"/>
      <c r="B227" s="40"/>
      <c r="C227" s="40"/>
      <c r="D227" s="40"/>
      <c r="E227" s="40"/>
      <c r="F227" s="40"/>
      <c r="G227" s="40"/>
      <c r="H227" s="63"/>
      <c r="I227" s="63"/>
      <c r="J227" s="63"/>
      <c r="K227" s="63"/>
      <c r="L227" s="40"/>
      <c r="N227" s="71">
        <f>ROW()</f>
        <v>227</v>
      </c>
      <c r="O227" s="71" t="str">
        <f>IF(ISNUMBER(SEARCH(Invoice!$Q$14,C227)),N227,"")</f>
        <v/>
      </c>
      <c r="P227" s="74" t="str">
        <f>IFERROR(SMALL(O227:O694,ROWS($O$2:O227)),"")</f>
        <v/>
      </c>
    </row>
    <row r="228" spans="1:18" x14ac:dyDescent="0.3">
      <c r="A228" s="44"/>
      <c r="B228" s="45"/>
      <c r="C228" s="45"/>
      <c r="D228" s="45"/>
      <c r="E228" s="45"/>
      <c r="F228" s="45"/>
      <c r="G228" s="45"/>
      <c r="H228" s="64"/>
      <c r="I228" s="64"/>
      <c r="J228" s="64"/>
      <c r="K228" s="64"/>
      <c r="L228" s="45"/>
      <c r="M228" s="43"/>
      <c r="N228" s="71">
        <f>ROW()</f>
        <v>228</v>
      </c>
      <c r="O228" s="71" t="str">
        <f>IF(ISNUMBER(SEARCH(Invoice!$Q$14,C228)),N228,"")</f>
        <v/>
      </c>
      <c r="P228" s="74" t="str">
        <f>IFERROR(SMALL(O228:O695,ROWS($O$2:O228)),"")</f>
        <v/>
      </c>
      <c r="Q228" s="43"/>
      <c r="R228" s="43"/>
    </row>
    <row r="229" spans="1:18" x14ac:dyDescent="0.3">
      <c r="A229" s="39"/>
      <c r="B229" s="40"/>
      <c r="C229" s="40"/>
      <c r="D229" s="40"/>
      <c r="E229" s="40"/>
      <c r="F229" s="40"/>
      <c r="G229" s="40"/>
      <c r="H229" s="63"/>
      <c r="I229" s="63"/>
      <c r="J229" s="63"/>
      <c r="K229" s="63"/>
      <c r="L229" s="40"/>
      <c r="N229" s="71">
        <f>ROW()</f>
        <v>229</v>
      </c>
      <c r="O229" s="71" t="str">
        <f>IF(ISNUMBER(SEARCH(Invoice!$Q$14,C229)),N229,"")</f>
        <v/>
      </c>
      <c r="P229" s="74" t="str">
        <f>IFERROR(SMALL(O229:O696,ROWS($O$2:O229)),"")</f>
        <v/>
      </c>
    </row>
    <row r="230" spans="1:18" x14ac:dyDescent="0.3">
      <c r="A230" s="44"/>
      <c r="B230" s="45"/>
      <c r="C230" s="45"/>
      <c r="D230" s="45"/>
      <c r="E230" s="45"/>
      <c r="F230" s="45"/>
      <c r="G230" s="45"/>
      <c r="H230" s="64"/>
      <c r="I230" s="64"/>
      <c r="J230" s="64"/>
      <c r="K230" s="64"/>
      <c r="L230" s="45"/>
      <c r="M230" s="43"/>
      <c r="N230" s="71">
        <f>ROW()</f>
        <v>230</v>
      </c>
      <c r="O230" s="71" t="str">
        <f>IF(ISNUMBER(SEARCH(Invoice!$Q$14,C230)),N230,"")</f>
        <v/>
      </c>
      <c r="P230" s="74" t="str">
        <f>IFERROR(SMALL(O230:O697,ROWS($O$2:O230)),"")</f>
        <v/>
      </c>
      <c r="Q230" s="43"/>
      <c r="R230" s="43"/>
    </row>
    <row r="231" spans="1:18" x14ac:dyDescent="0.3">
      <c r="A231" s="39"/>
      <c r="B231" s="40"/>
      <c r="C231" s="40"/>
      <c r="D231" s="40"/>
      <c r="E231" s="40"/>
      <c r="F231" s="40"/>
      <c r="G231" s="40"/>
      <c r="H231" s="63"/>
      <c r="I231" s="63"/>
      <c r="J231" s="63"/>
      <c r="K231" s="63"/>
      <c r="L231" s="40"/>
      <c r="N231" s="71">
        <f>ROW()</f>
        <v>231</v>
      </c>
      <c r="O231" s="71" t="str">
        <f>IF(ISNUMBER(SEARCH(Invoice!$Q$14,C231)),N231,"")</f>
        <v/>
      </c>
      <c r="P231" s="74" t="str">
        <f>IFERROR(SMALL(O231:O698,ROWS($O$2:O231)),"")</f>
        <v/>
      </c>
    </row>
    <row r="232" spans="1:18" x14ac:dyDescent="0.3">
      <c r="A232" s="44"/>
      <c r="B232" s="45"/>
      <c r="C232" s="45"/>
      <c r="D232" s="45"/>
      <c r="E232" s="45"/>
      <c r="F232" s="45"/>
      <c r="G232" s="45"/>
      <c r="H232" s="64"/>
      <c r="I232" s="64"/>
      <c r="J232" s="64"/>
      <c r="K232" s="64"/>
      <c r="L232" s="45"/>
      <c r="M232" s="43"/>
      <c r="N232" s="71">
        <f>ROW()</f>
        <v>232</v>
      </c>
      <c r="O232" s="71" t="str">
        <f>IF(ISNUMBER(SEARCH(Invoice!$Q$14,C232)),N232,"")</f>
        <v/>
      </c>
      <c r="P232" s="74" t="str">
        <f>IFERROR(SMALL(O232:O699,ROWS($O$2:O232)),"")</f>
        <v/>
      </c>
      <c r="Q232" s="43"/>
      <c r="R232" s="43"/>
    </row>
    <row r="233" spans="1:18" x14ac:dyDescent="0.3">
      <c r="A233" s="39"/>
      <c r="B233" s="40"/>
      <c r="C233" s="40"/>
      <c r="D233" s="40"/>
      <c r="E233" s="40"/>
      <c r="F233" s="40"/>
      <c r="G233" s="40"/>
      <c r="H233" s="63"/>
      <c r="I233" s="63"/>
      <c r="J233" s="63"/>
      <c r="K233" s="63"/>
      <c r="L233" s="40"/>
      <c r="N233" s="71">
        <f>ROW()</f>
        <v>233</v>
      </c>
      <c r="O233" s="71" t="str">
        <f>IF(ISNUMBER(SEARCH(Invoice!$Q$14,C233)),N233,"")</f>
        <v/>
      </c>
      <c r="P233" s="74" t="str">
        <f>IFERROR(SMALL(O233:O700,ROWS($O$2:O233)),"")</f>
        <v/>
      </c>
    </row>
    <row r="234" spans="1:18" x14ac:dyDescent="0.3">
      <c r="A234" s="44"/>
      <c r="B234" s="45"/>
      <c r="C234" s="45"/>
      <c r="D234" s="45"/>
      <c r="E234" s="45"/>
      <c r="F234" s="45"/>
      <c r="G234" s="45"/>
      <c r="H234" s="64"/>
      <c r="I234" s="64"/>
      <c r="J234" s="64"/>
      <c r="K234" s="64"/>
      <c r="L234" s="45"/>
      <c r="M234" s="43"/>
      <c r="N234" s="71">
        <f>ROW()</f>
        <v>234</v>
      </c>
      <c r="O234" s="71" t="str">
        <f>IF(ISNUMBER(SEARCH(Invoice!$Q$14,C234)),N234,"")</f>
        <v/>
      </c>
      <c r="P234" s="74" t="str">
        <f>IFERROR(SMALL(O234:O701,ROWS($O$2:O234)),"")</f>
        <v/>
      </c>
      <c r="Q234" s="43"/>
      <c r="R234" s="43"/>
    </row>
    <row r="235" spans="1:18" x14ac:dyDescent="0.3">
      <c r="A235" s="39"/>
      <c r="B235" s="40"/>
      <c r="C235" s="40"/>
      <c r="D235" s="40"/>
      <c r="E235" s="40"/>
      <c r="F235" s="40"/>
      <c r="G235" s="40"/>
      <c r="H235" s="63"/>
      <c r="I235" s="63"/>
      <c r="J235" s="63"/>
      <c r="K235" s="63"/>
      <c r="L235" s="40"/>
      <c r="N235" s="71">
        <f>ROW()</f>
        <v>235</v>
      </c>
      <c r="O235" s="71" t="str">
        <f>IF(ISNUMBER(SEARCH(Invoice!$Q$14,C235)),N235,"")</f>
        <v/>
      </c>
      <c r="P235" s="74" t="str">
        <f>IFERROR(SMALL(O235:O702,ROWS($O$2:O235)),"")</f>
        <v/>
      </c>
    </row>
    <row r="236" spans="1:18" x14ac:dyDescent="0.3">
      <c r="A236" s="44"/>
      <c r="B236" s="45"/>
      <c r="C236" s="45"/>
      <c r="D236" s="45"/>
      <c r="E236" s="45"/>
      <c r="F236" s="45"/>
      <c r="G236" s="45"/>
      <c r="H236" s="64"/>
      <c r="I236" s="64"/>
      <c r="J236" s="64"/>
      <c r="K236" s="64"/>
      <c r="L236" s="45"/>
      <c r="M236" s="43"/>
      <c r="N236" s="71">
        <f>ROW()</f>
        <v>236</v>
      </c>
      <c r="O236" s="71" t="str">
        <f>IF(ISNUMBER(SEARCH(Invoice!$Q$14,C236)),N236,"")</f>
        <v/>
      </c>
      <c r="P236" s="74" t="str">
        <f>IFERROR(SMALL(O236:O703,ROWS($O$2:O236)),"")</f>
        <v/>
      </c>
      <c r="Q236" s="43"/>
      <c r="R236" s="43"/>
    </row>
    <row r="237" spans="1:18" x14ac:dyDescent="0.3">
      <c r="A237" s="39"/>
      <c r="B237" s="40"/>
      <c r="C237" s="40"/>
      <c r="D237" s="40"/>
      <c r="E237" s="40"/>
      <c r="F237" s="40"/>
      <c r="G237" s="40"/>
      <c r="H237" s="63"/>
      <c r="I237" s="63"/>
      <c r="J237" s="63"/>
      <c r="K237" s="63"/>
      <c r="L237" s="40"/>
      <c r="N237" s="71">
        <f>ROW()</f>
        <v>237</v>
      </c>
      <c r="O237" s="71" t="str">
        <f>IF(ISNUMBER(SEARCH(Invoice!$Q$14,C237)),N237,"")</f>
        <v/>
      </c>
      <c r="P237" s="74" t="str">
        <f>IFERROR(SMALL(O237:O704,ROWS($O$2:O237)),"")</f>
        <v/>
      </c>
    </row>
    <row r="238" spans="1:18" x14ac:dyDescent="0.3">
      <c r="A238" s="44"/>
      <c r="B238" s="45"/>
      <c r="C238" s="45"/>
      <c r="D238" s="45"/>
      <c r="E238" s="45"/>
      <c r="F238" s="45"/>
      <c r="G238" s="45"/>
      <c r="H238" s="64"/>
      <c r="I238" s="64"/>
      <c r="J238" s="64"/>
      <c r="K238" s="64"/>
      <c r="L238" s="45"/>
      <c r="M238" s="43"/>
      <c r="N238" s="71">
        <f>ROW()</f>
        <v>238</v>
      </c>
      <c r="O238" s="71" t="str">
        <f>IF(ISNUMBER(SEARCH(Invoice!$Q$14,C238)),N238,"")</f>
        <v/>
      </c>
      <c r="P238" s="74" t="str">
        <f>IFERROR(SMALL(O238:O705,ROWS($O$2:O238)),"")</f>
        <v/>
      </c>
      <c r="Q238" s="43"/>
      <c r="R238" s="43"/>
    </row>
    <row r="239" spans="1:18" x14ac:dyDescent="0.3">
      <c r="A239" s="39"/>
      <c r="B239" s="40"/>
      <c r="C239" s="40"/>
      <c r="D239" s="40"/>
      <c r="E239" s="40"/>
      <c r="F239" s="40"/>
      <c r="G239" s="40"/>
      <c r="H239" s="63"/>
      <c r="I239" s="63"/>
      <c r="J239" s="63"/>
      <c r="K239" s="63"/>
      <c r="L239" s="40"/>
      <c r="N239" s="71">
        <f>ROW()</f>
        <v>239</v>
      </c>
      <c r="O239" s="71" t="str">
        <f>IF(ISNUMBER(SEARCH(Invoice!$Q$14,C239)),N239,"")</f>
        <v/>
      </c>
      <c r="P239" s="74" t="str">
        <f>IFERROR(SMALL(O239:O706,ROWS($O$2:O239)),"")</f>
        <v/>
      </c>
    </row>
    <row r="240" spans="1:18" x14ac:dyDescent="0.3">
      <c r="A240" s="44"/>
      <c r="B240" s="45"/>
      <c r="C240" s="45"/>
      <c r="D240" s="45"/>
      <c r="E240" s="45"/>
      <c r="F240" s="45"/>
      <c r="G240" s="45"/>
      <c r="H240" s="64"/>
      <c r="I240" s="64"/>
      <c r="J240" s="64"/>
      <c r="K240" s="64"/>
      <c r="L240" s="45"/>
      <c r="M240" s="43"/>
      <c r="N240" s="71">
        <f>ROW()</f>
        <v>240</v>
      </c>
      <c r="O240" s="71" t="str">
        <f>IF(ISNUMBER(SEARCH(Invoice!$Q$14,C240)),N240,"")</f>
        <v/>
      </c>
      <c r="P240" s="74" t="str">
        <f>IFERROR(SMALL(O240:O707,ROWS($O$2:O240)),"")</f>
        <v/>
      </c>
      <c r="Q240" s="43"/>
      <c r="R240" s="43"/>
    </row>
    <row r="241" spans="1:18" x14ac:dyDescent="0.3">
      <c r="A241" s="39"/>
      <c r="B241" s="40"/>
      <c r="C241" s="40"/>
      <c r="D241" s="40"/>
      <c r="E241" s="40"/>
      <c r="F241" s="40"/>
      <c r="G241" s="40"/>
      <c r="H241" s="63"/>
      <c r="I241" s="63"/>
      <c r="J241" s="63"/>
      <c r="K241" s="63"/>
      <c r="L241" s="40"/>
      <c r="N241" s="71">
        <f>ROW()</f>
        <v>241</v>
      </c>
      <c r="O241" s="71" t="str">
        <f>IF(ISNUMBER(SEARCH(Invoice!$Q$14,C241)),N241,"")</f>
        <v/>
      </c>
      <c r="P241" s="74" t="str">
        <f>IFERROR(SMALL(O241:O708,ROWS($O$2:O241)),"")</f>
        <v/>
      </c>
    </row>
    <row r="242" spans="1:18" x14ac:dyDescent="0.3">
      <c r="A242" s="44"/>
      <c r="B242" s="45"/>
      <c r="C242" s="45"/>
      <c r="D242" s="45"/>
      <c r="E242" s="45"/>
      <c r="F242" s="45"/>
      <c r="G242" s="45"/>
      <c r="H242" s="64"/>
      <c r="I242" s="64"/>
      <c r="J242" s="64"/>
      <c r="K242" s="64"/>
      <c r="L242" s="45"/>
      <c r="M242" s="43"/>
      <c r="N242" s="71">
        <f>ROW()</f>
        <v>242</v>
      </c>
      <c r="O242" s="71" t="str">
        <f>IF(ISNUMBER(SEARCH(Invoice!$Q$14,C242)),N242,"")</f>
        <v/>
      </c>
      <c r="P242" s="74" t="str">
        <f>IFERROR(SMALL(O242:O709,ROWS($O$2:O242)),"")</f>
        <v/>
      </c>
      <c r="Q242" s="43"/>
      <c r="R242" s="43"/>
    </row>
    <row r="243" spans="1:18" x14ac:dyDescent="0.3">
      <c r="A243" s="39"/>
      <c r="B243" s="40"/>
      <c r="C243" s="40"/>
      <c r="D243" s="40"/>
      <c r="E243" s="40"/>
      <c r="F243" s="40"/>
      <c r="G243" s="40"/>
      <c r="H243" s="63"/>
      <c r="I243" s="63"/>
      <c r="J243" s="63"/>
      <c r="K243" s="63"/>
      <c r="L243" s="40"/>
      <c r="N243" s="71">
        <f>ROW()</f>
        <v>243</v>
      </c>
      <c r="O243" s="71" t="str">
        <f>IF(ISNUMBER(SEARCH(Invoice!$Q$14,C243)),N243,"")</f>
        <v/>
      </c>
      <c r="P243" s="74" t="str">
        <f>IFERROR(SMALL(O243:O710,ROWS($O$2:O243)),"")</f>
        <v/>
      </c>
    </row>
    <row r="244" spans="1:18" x14ac:dyDescent="0.3">
      <c r="A244" s="44"/>
      <c r="B244" s="45"/>
      <c r="C244" s="45"/>
      <c r="D244" s="45"/>
      <c r="E244" s="45"/>
      <c r="F244" s="45"/>
      <c r="G244" s="45"/>
      <c r="H244" s="64"/>
      <c r="I244" s="64"/>
      <c r="J244" s="64"/>
      <c r="K244" s="64"/>
      <c r="L244" s="45"/>
      <c r="M244" s="43"/>
      <c r="N244" s="71">
        <f>ROW()</f>
        <v>244</v>
      </c>
      <c r="O244" s="71" t="str">
        <f>IF(ISNUMBER(SEARCH(Invoice!$Q$14,C244)),N244,"")</f>
        <v/>
      </c>
      <c r="P244" s="74" t="str">
        <f>IFERROR(SMALL(O244:O711,ROWS($O$2:O244)),"")</f>
        <v/>
      </c>
      <c r="Q244" s="43"/>
      <c r="R244" s="43"/>
    </row>
    <row r="245" spans="1:18" x14ac:dyDescent="0.3">
      <c r="A245" s="39"/>
      <c r="B245" s="40"/>
      <c r="C245" s="40"/>
      <c r="D245" s="40"/>
      <c r="E245" s="40"/>
      <c r="F245" s="40"/>
      <c r="G245" s="40"/>
      <c r="H245" s="63"/>
      <c r="I245" s="63"/>
      <c r="J245" s="63"/>
      <c r="K245" s="63"/>
      <c r="L245" s="40"/>
      <c r="N245" s="71">
        <f>ROW()</f>
        <v>245</v>
      </c>
      <c r="O245" s="71" t="str">
        <f>IF(ISNUMBER(SEARCH(Invoice!$Q$14,C245)),N245,"")</f>
        <v/>
      </c>
      <c r="P245" s="74" t="str">
        <f>IFERROR(SMALL(O245:O712,ROWS($O$2:O245)),"")</f>
        <v/>
      </c>
    </row>
    <row r="246" spans="1:18" x14ac:dyDescent="0.3">
      <c r="A246" s="44"/>
      <c r="B246" s="45"/>
      <c r="C246" s="45"/>
      <c r="D246" s="45"/>
      <c r="E246" s="45"/>
      <c r="F246" s="45"/>
      <c r="G246" s="45"/>
      <c r="H246" s="64"/>
      <c r="I246" s="64"/>
      <c r="J246" s="64"/>
      <c r="K246" s="64"/>
      <c r="L246" s="45"/>
      <c r="M246" s="43"/>
      <c r="N246" s="71">
        <f>ROW()</f>
        <v>246</v>
      </c>
      <c r="O246" s="71" t="str">
        <f>IF(ISNUMBER(SEARCH(Invoice!$Q$14,C246)),N246,"")</f>
        <v/>
      </c>
      <c r="P246" s="74" t="str">
        <f>IFERROR(SMALL(O246:O713,ROWS($O$2:O246)),"")</f>
        <v/>
      </c>
      <c r="Q246" s="43"/>
      <c r="R246" s="43"/>
    </row>
    <row r="247" spans="1:18" x14ac:dyDescent="0.3">
      <c r="A247" s="39"/>
      <c r="B247" s="40"/>
      <c r="C247" s="40"/>
      <c r="D247" s="40"/>
      <c r="E247" s="40"/>
      <c r="F247" s="40"/>
      <c r="G247" s="40"/>
      <c r="H247" s="63"/>
      <c r="I247" s="63"/>
      <c r="J247" s="63"/>
      <c r="K247" s="63"/>
      <c r="L247" s="40"/>
      <c r="N247" s="71">
        <f>ROW()</f>
        <v>247</v>
      </c>
      <c r="O247" s="71" t="str">
        <f>IF(ISNUMBER(SEARCH(Invoice!$Q$14,C247)),N247,"")</f>
        <v/>
      </c>
      <c r="P247" s="74" t="str">
        <f>IFERROR(SMALL(O247:O714,ROWS($O$2:O247)),"")</f>
        <v/>
      </c>
    </row>
    <row r="248" spans="1:18" x14ac:dyDescent="0.3">
      <c r="A248" s="44"/>
      <c r="B248" s="45"/>
      <c r="C248" s="45"/>
      <c r="D248" s="45"/>
      <c r="E248" s="45"/>
      <c r="F248" s="45"/>
      <c r="G248" s="45"/>
      <c r="H248" s="64"/>
      <c r="I248" s="64"/>
      <c r="J248" s="64"/>
      <c r="K248" s="64"/>
      <c r="L248" s="45"/>
      <c r="M248" s="43"/>
      <c r="N248" s="71">
        <f>ROW()</f>
        <v>248</v>
      </c>
      <c r="O248" s="71" t="str">
        <f>IF(ISNUMBER(SEARCH(Invoice!$Q$14,C248)),N248,"")</f>
        <v/>
      </c>
      <c r="P248" s="74" t="str">
        <f>IFERROR(SMALL(O248:O715,ROWS($O$2:O248)),"")</f>
        <v/>
      </c>
      <c r="Q248" s="43"/>
      <c r="R248" s="43"/>
    </row>
    <row r="249" spans="1:18" x14ac:dyDescent="0.3">
      <c r="A249" s="39"/>
      <c r="B249" s="40"/>
      <c r="C249" s="40"/>
      <c r="D249" s="40"/>
      <c r="E249" s="40"/>
      <c r="F249" s="40"/>
      <c r="G249" s="40"/>
      <c r="H249" s="63"/>
      <c r="I249" s="63"/>
      <c r="J249" s="63"/>
      <c r="K249" s="63"/>
      <c r="L249" s="40"/>
      <c r="N249" s="71">
        <f>ROW()</f>
        <v>249</v>
      </c>
      <c r="O249" s="71" t="str">
        <f>IF(ISNUMBER(SEARCH(Invoice!$Q$14,C249)),N249,"")</f>
        <v/>
      </c>
      <c r="P249" s="74" t="str">
        <f>IFERROR(SMALL(O249:O716,ROWS($O$2:O249)),"")</f>
        <v/>
      </c>
    </row>
    <row r="250" spans="1:18" x14ac:dyDescent="0.3">
      <c r="A250" s="44"/>
      <c r="B250" s="45"/>
      <c r="C250" s="45"/>
      <c r="D250" s="45"/>
      <c r="E250" s="45"/>
      <c r="F250" s="45"/>
      <c r="G250" s="45"/>
      <c r="H250" s="64"/>
      <c r="I250" s="64"/>
      <c r="J250" s="64"/>
      <c r="K250" s="64"/>
      <c r="L250" s="45"/>
      <c r="M250" s="43"/>
      <c r="N250" s="71">
        <f>ROW()</f>
        <v>250</v>
      </c>
      <c r="O250" s="71" t="str">
        <f>IF(ISNUMBER(SEARCH(Invoice!$Q$14,C250)),N250,"")</f>
        <v/>
      </c>
      <c r="P250" s="74" t="str">
        <f>IFERROR(SMALL(O250:O717,ROWS($O$2:O250)),"")</f>
        <v/>
      </c>
      <c r="Q250" s="43"/>
      <c r="R250" s="43"/>
    </row>
    <row r="251" spans="1:18" x14ac:dyDescent="0.3">
      <c r="A251" s="39"/>
      <c r="B251" s="40"/>
      <c r="C251" s="40"/>
      <c r="D251" s="40"/>
      <c r="E251" s="40"/>
      <c r="F251" s="40"/>
      <c r="G251" s="40"/>
      <c r="H251" s="63"/>
      <c r="I251" s="63"/>
      <c r="J251" s="63"/>
      <c r="K251" s="63"/>
      <c r="L251" s="40"/>
      <c r="N251" s="71">
        <f>ROW()</f>
        <v>251</v>
      </c>
      <c r="O251" s="71" t="str">
        <f>IF(ISNUMBER(SEARCH(Invoice!$Q$14,C251)),N251,"")</f>
        <v/>
      </c>
      <c r="P251" s="74" t="str">
        <f>IFERROR(SMALL(O251:O718,ROWS($O$2:O251)),"")</f>
        <v/>
      </c>
    </row>
    <row r="252" spans="1:18" x14ac:dyDescent="0.3">
      <c r="A252" s="44"/>
      <c r="B252" s="45"/>
      <c r="C252" s="45"/>
      <c r="D252" s="45"/>
      <c r="E252" s="45"/>
      <c r="F252" s="45"/>
      <c r="G252" s="45"/>
      <c r="H252" s="64"/>
      <c r="I252" s="64"/>
      <c r="J252" s="64"/>
      <c r="K252" s="64"/>
      <c r="L252" s="45"/>
      <c r="M252" s="43"/>
      <c r="N252" s="71">
        <f>ROW()</f>
        <v>252</v>
      </c>
      <c r="O252" s="71" t="str">
        <f>IF(ISNUMBER(SEARCH(Invoice!$Q$14,C252)),N252,"")</f>
        <v/>
      </c>
      <c r="P252" s="74" t="str">
        <f>IFERROR(SMALL(O252:O719,ROWS($O$2:O252)),"")</f>
        <v/>
      </c>
      <c r="Q252" s="43"/>
      <c r="R252" s="43"/>
    </row>
    <row r="253" spans="1:18" x14ac:dyDescent="0.3">
      <c r="A253" s="39"/>
      <c r="B253" s="40"/>
      <c r="C253" s="40"/>
      <c r="D253" s="40"/>
      <c r="E253" s="40"/>
      <c r="F253" s="40"/>
      <c r="G253" s="40"/>
      <c r="H253" s="63"/>
      <c r="I253" s="63"/>
      <c r="J253" s="63"/>
      <c r="K253" s="63"/>
      <c r="L253" s="40"/>
      <c r="N253" s="71">
        <f>ROW()</f>
        <v>253</v>
      </c>
      <c r="O253" s="71" t="str">
        <f>IF(ISNUMBER(SEARCH(Invoice!$Q$14,C253)),N253,"")</f>
        <v/>
      </c>
      <c r="P253" s="74" t="str">
        <f>IFERROR(SMALL(O253:O720,ROWS($O$2:O253)),"")</f>
        <v/>
      </c>
    </row>
    <row r="254" spans="1:18" x14ac:dyDescent="0.3">
      <c r="A254" s="44"/>
      <c r="B254" s="45"/>
      <c r="C254" s="45"/>
      <c r="D254" s="45"/>
      <c r="E254" s="45"/>
      <c r="F254" s="45"/>
      <c r="G254" s="45"/>
      <c r="H254" s="64"/>
      <c r="I254" s="64"/>
      <c r="J254" s="64"/>
      <c r="K254" s="64"/>
      <c r="L254" s="45"/>
      <c r="M254" s="43"/>
      <c r="N254" s="71">
        <f>ROW()</f>
        <v>254</v>
      </c>
      <c r="O254" s="71" t="str">
        <f>IF(ISNUMBER(SEARCH(Invoice!$Q$14,C254)),N254,"")</f>
        <v/>
      </c>
      <c r="P254" s="74" t="str">
        <f>IFERROR(SMALL(O254:O721,ROWS($O$2:O254)),"")</f>
        <v/>
      </c>
      <c r="Q254" s="43"/>
      <c r="R254" s="43"/>
    </row>
    <row r="255" spans="1:18" x14ac:dyDescent="0.3">
      <c r="A255" s="39"/>
      <c r="B255" s="40"/>
      <c r="C255" s="40"/>
      <c r="D255" s="40"/>
      <c r="E255" s="40"/>
      <c r="F255" s="40"/>
      <c r="G255" s="40"/>
      <c r="H255" s="63"/>
      <c r="I255" s="63"/>
      <c r="J255" s="63"/>
      <c r="K255" s="63"/>
      <c r="L255" s="40"/>
      <c r="N255" s="71">
        <f>ROW()</f>
        <v>255</v>
      </c>
      <c r="O255" s="71" t="str">
        <f>IF(ISNUMBER(SEARCH(Invoice!$Q$14,C255)),N255,"")</f>
        <v/>
      </c>
      <c r="P255" s="74" t="str">
        <f>IFERROR(SMALL(O255:O722,ROWS($O$2:O255)),"")</f>
        <v/>
      </c>
    </row>
    <row r="256" spans="1:18" x14ac:dyDescent="0.3">
      <c r="A256" s="44"/>
      <c r="B256" s="45"/>
      <c r="C256" s="45"/>
      <c r="D256" s="45"/>
      <c r="E256" s="45"/>
      <c r="F256" s="45"/>
      <c r="G256" s="45"/>
      <c r="H256" s="64"/>
      <c r="I256" s="64"/>
      <c r="J256" s="64"/>
      <c r="K256" s="64"/>
      <c r="L256" s="45"/>
      <c r="M256" s="43"/>
      <c r="N256" s="71">
        <f>ROW()</f>
        <v>256</v>
      </c>
      <c r="O256" s="71" t="str">
        <f>IF(ISNUMBER(SEARCH(Invoice!$Q$14,C256)),N256,"")</f>
        <v/>
      </c>
      <c r="P256" s="74" t="str">
        <f>IFERROR(SMALL(O256:O723,ROWS($O$2:O256)),"")</f>
        <v/>
      </c>
      <c r="Q256" s="43"/>
      <c r="R256" s="43"/>
    </row>
    <row r="257" spans="1:18" x14ac:dyDescent="0.3">
      <c r="A257" s="39"/>
      <c r="B257" s="40"/>
      <c r="C257" s="40"/>
      <c r="D257" s="40"/>
      <c r="E257" s="40"/>
      <c r="F257" s="40"/>
      <c r="G257" s="40"/>
      <c r="H257" s="63"/>
      <c r="I257" s="63"/>
      <c r="J257" s="63"/>
      <c r="K257" s="63"/>
      <c r="L257" s="40"/>
      <c r="N257" s="71">
        <f>ROW()</f>
        <v>257</v>
      </c>
      <c r="O257" s="71" t="str">
        <f>IF(ISNUMBER(SEARCH(Invoice!$Q$14,C257)),N257,"")</f>
        <v/>
      </c>
      <c r="P257" s="74" t="str">
        <f>IFERROR(SMALL(O257:O724,ROWS($O$2:O257)),"")</f>
        <v/>
      </c>
    </row>
    <row r="258" spans="1:18" x14ac:dyDescent="0.3">
      <c r="A258" s="44"/>
      <c r="B258" s="45"/>
      <c r="C258" s="45"/>
      <c r="D258" s="45"/>
      <c r="E258" s="45"/>
      <c r="F258" s="45"/>
      <c r="G258" s="45"/>
      <c r="H258" s="64"/>
      <c r="I258" s="64"/>
      <c r="J258" s="64"/>
      <c r="K258" s="64"/>
      <c r="L258" s="45"/>
      <c r="M258" s="43"/>
      <c r="N258" s="71">
        <f>ROW()</f>
        <v>258</v>
      </c>
      <c r="O258" s="71" t="str">
        <f>IF(ISNUMBER(SEARCH(Invoice!$Q$14,C258)),N258,"")</f>
        <v/>
      </c>
      <c r="P258" s="74" t="str">
        <f>IFERROR(SMALL(O258:O725,ROWS($O$2:O258)),"")</f>
        <v/>
      </c>
      <c r="Q258" s="43"/>
      <c r="R258" s="43"/>
    </row>
    <row r="259" spans="1:18" x14ac:dyDescent="0.3">
      <c r="A259" s="39"/>
      <c r="B259" s="40"/>
      <c r="C259" s="40"/>
      <c r="D259" s="40"/>
      <c r="E259" s="40"/>
      <c r="F259" s="40"/>
      <c r="G259" s="40"/>
      <c r="H259" s="63"/>
      <c r="I259" s="63"/>
      <c r="J259" s="63"/>
      <c r="K259" s="63"/>
      <c r="L259" s="40"/>
      <c r="N259" s="71">
        <f>ROW()</f>
        <v>259</v>
      </c>
      <c r="O259" s="71" t="str">
        <f>IF(ISNUMBER(SEARCH(Invoice!$Q$14,C259)),N259,"")</f>
        <v/>
      </c>
      <c r="P259" s="74" t="str">
        <f>IFERROR(SMALL(O259:O726,ROWS($O$2:O259)),"")</f>
        <v/>
      </c>
    </row>
    <row r="260" spans="1:18" x14ac:dyDescent="0.3">
      <c r="A260" s="44"/>
      <c r="B260" s="45"/>
      <c r="C260" s="45"/>
      <c r="D260" s="45"/>
      <c r="E260" s="45"/>
      <c r="F260" s="45"/>
      <c r="G260" s="45"/>
      <c r="H260" s="64"/>
      <c r="I260" s="64"/>
      <c r="J260" s="64"/>
      <c r="K260" s="64"/>
      <c r="L260" s="45"/>
      <c r="M260" s="43"/>
      <c r="N260" s="71">
        <f>ROW()</f>
        <v>260</v>
      </c>
      <c r="O260" s="71" t="str">
        <f>IF(ISNUMBER(SEARCH(Invoice!$Q$14,C260)),N260,"")</f>
        <v/>
      </c>
      <c r="P260" s="74" t="str">
        <f>IFERROR(SMALL(O260:O727,ROWS($O$2:O260)),"")</f>
        <v/>
      </c>
      <c r="Q260" s="43"/>
      <c r="R260" s="43"/>
    </row>
    <row r="261" spans="1:18" x14ac:dyDescent="0.3">
      <c r="A261" s="39"/>
      <c r="B261" s="40"/>
      <c r="C261" s="40"/>
      <c r="D261" s="40"/>
      <c r="E261" s="40"/>
      <c r="F261" s="40"/>
      <c r="G261" s="40"/>
      <c r="H261" s="63"/>
      <c r="I261" s="63"/>
      <c r="J261" s="63"/>
      <c r="K261" s="63"/>
      <c r="L261" s="40"/>
      <c r="N261" s="71">
        <f>ROW()</f>
        <v>261</v>
      </c>
      <c r="O261" s="71" t="str">
        <f>IF(ISNUMBER(SEARCH(Invoice!$Q$14,C261)),N261,"")</f>
        <v/>
      </c>
      <c r="P261" s="74" t="str">
        <f>IFERROR(SMALL(O261:O728,ROWS($O$2:O261)),"")</f>
        <v/>
      </c>
    </row>
    <row r="262" spans="1:18" x14ac:dyDescent="0.3">
      <c r="A262" s="44"/>
      <c r="B262" s="45"/>
      <c r="C262" s="45"/>
      <c r="D262" s="45"/>
      <c r="E262" s="45"/>
      <c r="F262" s="45"/>
      <c r="G262" s="45"/>
      <c r="H262" s="64"/>
      <c r="I262" s="64"/>
      <c r="J262" s="64"/>
      <c r="K262" s="64"/>
      <c r="L262" s="45"/>
      <c r="M262" s="43"/>
      <c r="N262" s="71">
        <f>ROW()</f>
        <v>262</v>
      </c>
      <c r="O262" s="71" t="str">
        <f>IF(ISNUMBER(SEARCH(Invoice!$Q$14,C262)),N262,"")</f>
        <v/>
      </c>
      <c r="P262" s="74" t="str">
        <f>IFERROR(SMALL(O262:O729,ROWS($O$2:O262)),"")</f>
        <v/>
      </c>
      <c r="Q262" s="43"/>
      <c r="R262" s="43"/>
    </row>
    <row r="263" spans="1:18" x14ac:dyDescent="0.3">
      <c r="A263" s="39"/>
      <c r="B263" s="40"/>
      <c r="C263" s="40"/>
      <c r="D263" s="40"/>
      <c r="E263" s="40"/>
      <c r="F263" s="40"/>
      <c r="G263" s="40"/>
      <c r="H263" s="63"/>
      <c r="I263" s="63"/>
      <c r="J263" s="63"/>
      <c r="K263" s="63"/>
      <c r="L263" s="40"/>
      <c r="N263" s="71">
        <f>ROW()</f>
        <v>263</v>
      </c>
      <c r="O263" s="71" t="str">
        <f>IF(ISNUMBER(SEARCH(Invoice!$Q$14,C263)),N263,"")</f>
        <v/>
      </c>
      <c r="P263" s="74" t="str">
        <f>IFERROR(SMALL(O263:O730,ROWS($O$2:O263)),"")</f>
        <v/>
      </c>
    </row>
    <row r="264" spans="1:18" x14ac:dyDescent="0.3">
      <c r="A264" s="44"/>
      <c r="B264" s="45"/>
      <c r="C264" s="45"/>
      <c r="D264" s="45"/>
      <c r="E264" s="45"/>
      <c r="F264" s="45"/>
      <c r="G264" s="45"/>
      <c r="H264" s="64"/>
      <c r="I264" s="64"/>
      <c r="J264" s="64"/>
      <c r="K264" s="64"/>
      <c r="L264" s="45"/>
      <c r="M264" s="43"/>
      <c r="N264" s="71">
        <f>ROW()</f>
        <v>264</v>
      </c>
      <c r="O264" s="71" t="str">
        <f>IF(ISNUMBER(SEARCH(Invoice!$Q$14,C264)),N264,"")</f>
        <v/>
      </c>
      <c r="P264" s="74" t="str">
        <f>IFERROR(SMALL(O264:O731,ROWS($O$2:O264)),"")</f>
        <v/>
      </c>
      <c r="Q264" s="43"/>
      <c r="R264" s="43"/>
    </row>
    <row r="265" spans="1:18" x14ac:dyDescent="0.3">
      <c r="A265" s="39"/>
      <c r="B265" s="40"/>
      <c r="C265" s="40"/>
      <c r="D265" s="40"/>
      <c r="E265" s="40"/>
      <c r="F265" s="40"/>
      <c r="G265" s="40"/>
      <c r="H265" s="63"/>
      <c r="I265" s="63"/>
      <c r="J265" s="63"/>
      <c r="K265" s="63"/>
      <c r="L265" s="40"/>
      <c r="N265" s="71">
        <f>ROW()</f>
        <v>265</v>
      </c>
      <c r="O265" s="71" t="str">
        <f>IF(ISNUMBER(SEARCH(Invoice!$Q$14,C265)),N265,"")</f>
        <v/>
      </c>
      <c r="P265" s="74" t="str">
        <f>IFERROR(SMALL(O265:O732,ROWS($O$2:O265)),"")</f>
        <v/>
      </c>
    </row>
    <row r="266" spans="1:18" x14ac:dyDescent="0.3">
      <c r="A266" s="44"/>
      <c r="B266" s="45"/>
      <c r="C266" s="45"/>
      <c r="D266" s="45"/>
      <c r="E266" s="45"/>
      <c r="F266" s="45"/>
      <c r="G266" s="45"/>
      <c r="H266" s="64"/>
      <c r="I266" s="64"/>
      <c r="J266" s="64"/>
      <c r="K266" s="64"/>
      <c r="L266" s="45"/>
      <c r="M266" s="43"/>
      <c r="N266" s="71">
        <f>ROW()</f>
        <v>266</v>
      </c>
      <c r="O266" s="71" t="str">
        <f>IF(ISNUMBER(SEARCH(Invoice!$Q$14,C266)),N266,"")</f>
        <v/>
      </c>
      <c r="P266" s="74" t="str">
        <f>IFERROR(SMALL(O266:O733,ROWS($O$2:O266)),"")</f>
        <v/>
      </c>
      <c r="Q266" s="43"/>
      <c r="R266" s="43"/>
    </row>
    <row r="267" spans="1:18" x14ac:dyDescent="0.3">
      <c r="A267" s="39"/>
      <c r="B267" s="40"/>
      <c r="C267" s="40"/>
      <c r="D267" s="40"/>
      <c r="E267" s="40"/>
      <c r="F267" s="40"/>
      <c r="G267" s="40"/>
      <c r="H267" s="63"/>
      <c r="I267" s="63"/>
      <c r="J267" s="63"/>
      <c r="K267" s="63"/>
      <c r="L267" s="40"/>
      <c r="N267" s="71">
        <f>ROW()</f>
        <v>267</v>
      </c>
      <c r="O267" s="71" t="str">
        <f>IF(ISNUMBER(SEARCH(Invoice!$Q$14,C267)),N267,"")</f>
        <v/>
      </c>
      <c r="P267" s="74" t="str">
        <f>IFERROR(SMALL(O267:O734,ROWS($O$2:O267)),"")</f>
        <v/>
      </c>
    </row>
    <row r="268" spans="1:18" x14ac:dyDescent="0.3">
      <c r="A268" s="44"/>
      <c r="B268" s="45"/>
      <c r="C268" s="45"/>
      <c r="D268" s="45"/>
      <c r="E268" s="45"/>
      <c r="F268" s="45"/>
      <c r="G268" s="45"/>
      <c r="H268" s="64"/>
      <c r="I268" s="64"/>
      <c r="J268" s="64"/>
      <c r="K268" s="64"/>
      <c r="L268" s="45"/>
      <c r="M268" s="43"/>
      <c r="N268" s="71">
        <f>ROW()</f>
        <v>268</v>
      </c>
      <c r="O268" s="71" t="str">
        <f>IF(ISNUMBER(SEARCH(Invoice!$Q$14,C268)),N268,"")</f>
        <v/>
      </c>
      <c r="P268" s="74" t="str">
        <f>IFERROR(SMALL(O268:O735,ROWS($O$2:O268)),"")</f>
        <v/>
      </c>
      <c r="Q268" s="43"/>
      <c r="R268" s="43"/>
    </row>
    <row r="269" spans="1:18" x14ac:dyDescent="0.3">
      <c r="A269" s="39"/>
      <c r="B269" s="40"/>
      <c r="C269" s="40"/>
      <c r="D269" s="40"/>
      <c r="E269" s="40"/>
      <c r="F269" s="40"/>
      <c r="G269" s="40"/>
      <c r="H269" s="63"/>
      <c r="I269" s="63"/>
      <c r="J269" s="63"/>
      <c r="K269" s="63"/>
      <c r="L269" s="40"/>
      <c r="N269" s="71">
        <f>ROW()</f>
        <v>269</v>
      </c>
      <c r="O269" s="71" t="str">
        <f>IF(ISNUMBER(SEARCH(Invoice!$Q$14,C269)),N269,"")</f>
        <v/>
      </c>
      <c r="P269" s="74" t="str">
        <f>IFERROR(SMALL(O269:O736,ROWS($O$2:O269)),"")</f>
        <v/>
      </c>
    </row>
    <row r="270" spans="1:18" x14ac:dyDescent="0.3">
      <c r="A270" s="44"/>
      <c r="B270" s="45"/>
      <c r="C270" s="45"/>
      <c r="D270" s="45"/>
      <c r="E270" s="45"/>
      <c r="F270" s="45"/>
      <c r="G270" s="45"/>
      <c r="H270" s="64"/>
      <c r="I270" s="64"/>
      <c r="J270" s="64"/>
      <c r="K270" s="64"/>
      <c r="L270" s="45"/>
      <c r="M270" s="43"/>
      <c r="N270" s="71">
        <f>ROW()</f>
        <v>270</v>
      </c>
      <c r="O270" s="71" t="str">
        <f>IF(ISNUMBER(SEARCH(Invoice!$Q$14,C270)),N270,"")</f>
        <v/>
      </c>
      <c r="P270" s="74" t="str">
        <f>IFERROR(SMALL(O270:O737,ROWS($O$2:O270)),"")</f>
        <v/>
      </c>
      <c r="Q270" s="43"/>
      <c r="R270" s="43"/>
    </row>
    <row r="271" spans="1:18" x14ac:dyDescent="0.3">
      <c r="A271" s="39"/>
      <c r="B271" s="40"/>
      <c r="C271" s="40"/>
      <c r="D271" s="40"/>
      <c r="E271" s="40"/>
      <c r="F271" s="40"/>
      <c r="G271" s="40"/>
      <c r="H271" s="63"/>
      <c r="I271" s="63"/>
      <c r="J271" s="63"/>
      <c r="K271" s="63"/>
      <c r="L271" s="40"/>
      <c r="N271" s="71">
        <f>ROW()</f>
        <v>271</v>
      </c>
      <c r="O271" s="71" t="str">
        <f>IF(ISNUMBER(SEARCH(Invoice!$Q$14,C271)),N271,"")</f>
        <v/>
      </c>
      <c r="P271" s="74" t="str">
        <f>IFERROR(SMALL(O271:O738,ROWS($O$2:O271)),"")</f>
        <v/>
      </c>
    </row>
    <row r="272" spans="1:18" x14ac:dyDescent="0.3">
      <c r="A272" s="44"/>
      <c r="B272" s="45"/>
      <c r="C272" s="45"/>
      <c r="D272" s="45"/>
      <c r="E272" s="45"/>
      <c r="F272" s="45"/>
      <c r="G272" s="45"/>
      <c r="H272" s="64"/>
      <c r="I272" s="64"/>
      <c r="J272" s="64"/>
      <c r="K272" s="64"/>
      <c r="L272" s="45"/>
      <c r="M272" s="43"/>
      <c r="N272" s="71">
        <f>ROW()</f>
        <v>272</v>
      </c>
      <c r="O272" s="71" t="str">
        <f>IF(ISNUMBER(SEARCH(Invoice!$Q$14,C272)),N272,"")</f>
        <v/>
      </c>
      <c r="P272" s="74" t="str">
        <f>IFERROR(SMALL(O272:O739,ROWS($O$2:O272)),"")</f>
        <v/>
      </c>
      <c r="Q272" s="43"/>
      <c r="R272" s="43"/>
    </row>
    <row r="273" spans="1:18" x14ac:dyDescent="0.3">
      <c r="A273" s="39"/>
      <c r="B273" s="40"/>
      <c r="C273" s="40"/>
      <c r="D273" s="40"/>
      <c r="E273" s="40"/>
      <c r="F273" s="40"/>
      <c r="G273" s="40"/>
      <c r="H273" s="63"/>
      <c r="I273" s="63"/>
      <c r="J273" s="63"/>
      <c r="K273" s="63"/>
      <c r="L273" s="40"/>
      <c r="N273" s="71">
        <f>ROW()</f>
        <v>273</v>
      </c>
      <c r="O273" s="71" t="str">
        <f>IF(ISNUMBER(SEARCH(Invoice!$Q$14,C273)),N273,"")</f>
        <v/>
      </c>
      <c r="P273" s="74" t="str">
        <f>IFERROR(SMALL(O273:O740,ROWS($O$2:O273)),"")</f>
        <v/>
      </c>
    </row>
    <row r="274" spans="1:18" x14ac:dyDescent="0.3">
      <c r="A274" s="44"/>
      <c r="B274" s="45"/>
      <c r="C274" s="45"/>
      <c r="D274" s="45"/>
      <c r="E274" s="45"/>
      <c r="F274" s="45"/>
      <c r="G274" s="45"/>
      <c r="H274" s="64"/>
      <c r="I274" s="64"/>
      <c r="J274" s="64"/>
      <c r="K274" s="64"/>
      <c r="L274" s="45"/>
      <c r="M274" s="43"/>
      <c r="N274" s="71">
        <f>ROW()</f>
        <v>274</v>
      </c>
      <c r="O274" s="71" t="str">
        <f>IF(ISNUMBER(SEARCH(Invoice!$Q$14,C274)),N274,"")</f>
        <v/>
      </c>
      <c r="P274" s="74" t="str">
        <f>IFERROR(SMALL(O274:O741,ROWS($O$2:O274)),"")</f>
        <v/>
      </c>
      <c r="Q274" s="43"/>
      <c r="R274" s="43"/>
    </row>
    <row r="275" spans="1:18" x14ac:dyDescent="0.3">
      <c r="A275" s="39"/>
      <c r="B275" s="40"/>
      <c r="C275" s="40"/>
      <c r="D275" s="40"/>
      <c r="E275" s="40"/>
      <c r="F275" s="40"/>
      <c r="G275" s="40"/>
      <c r="H275" s="63"/>
      <c r="I275" s="63"/>
      <c r="J275" s="63"/>
      <c r="K275" s="63"/>
      <c r="L275" s="40"/>
      <c r="N275" s="71">
        <f>ROW()</f>
        <v>275</v>
      </c>
      <c r="O275" s="71" t="str">
        <f>IF(ISNUMBER(SEARCH(Invoice!$Q$14,C275)),N275,"")</f>
        <v/>
      </c>
      <c r="P275" s="74" t="str">
        <f>IFERROR(SMALL(O275:O742,ROWS($O$2:O275)),"")</f>
        <v/>
      </c>
    </row>
    <row r="276" spans="1:18" x14ac:dyDescent="0.3">
      <c r="A276" s="44"/>
      <c r="B276" s="45"/>
      <c r="C276" s="45"/>
      <c r="D276" s="45"/>
      <c r="E276" s="45"/>
      <c r="F276" s="45"/>
      <c r="G276" s="45"/>
      <c r="H276" s="64"/>
      <c r="I276" s="64"/>
      <c r="J276" s="64"/>
      <c r="K276" s="64"/>
      <c r="L276" s="45"/>
      <c r="M276" s="43"/>
      <c r="N276" s="71">
        <f>ROW()</f>
        <v>276</v>
      </c>
      <c r="O276" s="71" t="str">
        <f>IF(ISNUMBER(SEARCH(Invoice!$Q$14,C276)),N276,"")</f>
        <v/>
      </c>
      <c r="P276" s="74" t="str">
        <f>IFERROR(SMALL(O276:O743,ROWS($O$2:O276)),"")</f>
        <v/>
      </c>
      <c r="Q276" s="43"/>
      <c r="R276" s="43"/>
    </row>
    <row r="277" spans="1:18" x14ac:dyDescent="0.3">
      <c r="A277" s="39"/>
      <c r="B277" s="40"/>
      <c r="C277" s="40"/>
      <c r="D277" s="40"/>
      <c r="E277" s="40"/>
      <c r="F277" s="40"/>
      <c r="G277" s="40"/>
      <c r="H277" s="63"/>
      <c r="I277" s="63"/>
      <c r="J277" s="63"/>
      <c r="K277" s="63"/>
      <c r="L277" s="40"/>
      <c r="N277" s="71">
        <f>ROW()</f>
        <v>277</v>
      </c>
      <c r="O277" s="71" t="str">
        <f>IF(ISNUMBER(SEARCH(Invoice!$Q$14,C277)),N277,"")</f>
        <v/>
      </c>
      <c r="P277" s="74" t="str">
        <f>IFERROR(SMALL(O277:O744,ROWS($O$2:O277)),"")</f>
        <v/>
      </c>
    </row>
    <row r="278" spans="1:18" x14ac:dyDescent="0.3">
      <c r="A278" s="44"/>
      <c r="B278" s="45"/>
      <c r="C278" s="45"/>
      <c r="D278" s="45"/>
      <c r="E278" s="45"/>
      <c r="F278" s="45"/>
      <c r="G278" s="45"/>
      <c r="H278" s="64"/>
      <c r="I278" s="64"/>
      <c r="J278" s="64"/>
      <c r="K278" s="64"/>
      <c r="L278" s="45"/>
      <c r="M278" s="43"/>
      <c r="N278" s="71">
        <f>ROW()</f>
        <v>278</v>
      </c>
      <c r="O278" s="71" t="str">
        <f>IF(ISNUMBER(SEARCH(Invoice!$Q$14,C278)),N278,"")</f>
        <v/>
      </c>
      <c r="P278" s="74" t="str">
        <f>IFERROR(SMALL(O278:O745,ROWS($O$2:O278)),"")</f>
        <v/>
      </c>
      <c r="Q278" s="43"/>
      <c r="R278" s="43"/>
    </row>
    <row r="279" spans="1:18" x14ac:dyDescent="0.3">
      <c r="A279" s="39"/>
      <c r="B279" s="40"/>
      <c r="C279" s="40"/>
      <c r="D279" s="40"/>
      <c r="E279" s="40"/>
      <c r="F279" s="40"/>
      <c r="G279" s="40"/>
      <c r="H279" s="63"/>
      <c r="I279" s="63"/>
      <c r="J279" s="63"/>
      <c r="K279" s="63"/>
      <c r="L279" s="40"/>
      <c r="N279" s="71">
        <f>ROW()</f>
        <v>279</v>
      </c>
      <c r="O279" s="71" t="str">
        <f>IF(ISNUMBER(SEARCH(Invoice!$Q$14,C279)),N279,"")</f>
        <v/>
      </c>
      <c r="P279" s="74" t="str">
        <f>IFERROR(SMALL(O279:O746,ROWS($O$2:O279)),"")</f>
        <v/>
      </c>
    </row>
    <row r="280" spans="1:18" x14ac:dyDescent="0.3">
      <c r="A280" s="44"/>
      <c r="B280" s="45"/>
      <c r="C280" s="45"/>
      <c r="D280" s="45"/>
      <c r="E280" s="45"/>
      <c r="F280" s="45"/>
      <c r="G280" s="45"/>
      <c r="H280" s="64"/>
      <c r="I280" s="64"/>
      <c r="J280" s="64"/>
      <c r="K280" s="64"/>
      <c r="L280" s="45"/>
      <c r="M280" s="43"/>
      <c r="N280" s="71">
        <f>ROW()</f>
        <v>280</v>
      </c>
      <c r="O280" s="71" t="str">
        <f>IF(ISNUMBER(SEARCH(Invoice!$Q$14,C280)),N280,"")</f>
        <v/>
      </c>
      <c r="P280" s="74" t="str">
        <f>IFERROR(SMALL(O280:O747,ROWS($O$2:O280)),"")</f>
        <v/>
      </c>
      <c r="Q280" s="43"/>
      <c r="R280" s="43"/>
    </row>
    <row r="281" spans="1:18" x14ac:dyDescent="0.3">
      <c r="A281" s="39"/>
      <c r="B281" s="40"/>
      <c r="C281" s="40"/>
      <c r="D281" s="40"/>
      <c r="E281" s="40"/>
      <c r="F281" s="40"/>
      <c r="G281" s="40"/>
      <c r="H281" s="63"/>
      <c r="I281" s="63"/>
      <c r="J281" s="63"/>
      <c r="K281" s="63"/>
      <c r="L281" s="40"/>
      <c r="N281" s="71">
        <f>ROW()</f>
        <v>281</v>
      </c>
      <c r="O281" s="71" t="str">
        <f>IF(ISNUMBER(SEARCH(Invoice!$Q$14,C281)),N281,"")</f>
        <v/>
      </c>
      <c r="P281" s="74" t="str">
        <f>IFERROR(SMALL(O281:O748,ROWS($O$2:O281)),"")</f>
        <v/>
      </c>
    </row>
    <row r="282" spans="1:18" x14ac:dyDescent="0.3">
      <c r="A282" s="44"/>
      <c r="B282" s="45"/>
      <c r="C282" s="45"/>
      <c r="D282" s="45"/>
      <c r="E282" s="45"/>
      <c r="F282" s="45"/>
      <c r="G282" s="45"/>
      <c r="H282" s="64"/>
      <c r="I282" s="64"/>
      <c r="J282" s="64"/>
      <c r="K282" s="64"/>
      <c r="L282" s="45"/>
      <c r="M282" s="43"/>
      <c r="N282" s="71">
        <f>ROW()</f>
        <v>282</v>
      </c>
      <c r="O282" s="71" t="str">
        <f>IF(ISNUMBER(SEARCH(Invoice!$Q$14,C282)),N282,"")</f>
        <v/>
      </c>
      <c r="P282" s="74" t="str">
        <f>IFERROR(SMALL(O282:O749,ROWS($O$2:O282)),"")</f>
        <v/>
      </c>
      <c r="Q282" s="43"/>
      <c r="R282" s="43"/>
    </row>
    <row r="283" spans="1:18" x14ac:dyDescent="0.3">
      <c r="A283" s="39"/>
      <c r="B283" s="40"/>
      <c r="C283" s="40"/>
      <c r="D283" s="40"/>
      <c r="E283" s="40"/>
      <c r="F283" s="40"/>
      <c r="G283" s="40"/>
      <c r="H283" s="63"/>
      <c r="I283" s="63"/>
      <c r="J283" s="63"/>
      <c r="K283" s="63"/>
      <c r="L283" s="40"/>
      <c r="N283" s="71">
        <f>ROW()</f>
        <v>283</v>
      </c>
      <c r="O283" s="71" t="str">
        <f>IF(ISNUMBER(SEARCH(Invoice!$Q$14,C283)),N283,"")</f>
        <v/>
      </c>
      <c r="P283" s="74" t="str">
        <f>IFERROR(SMALL(O283:O750,ROWS($O$2:O283)),"")</f>
        <v/>
      </c>
    </row>
    <row r="284" spans="1:18" x14ac:dyDescent="0.3">
      <c r="A284" s="44"/>
      <c r="B284" s="45"/>
      <c r="C284" s="45"/>
      <c r="D284" s="45"/>
      <c r="E284" s="45"/>
      <c r="F284" s="45"/>
      <c r="G284" s="45"/>
      <c r="H284" s="64"/>
      <c r="I284" s="64"/>
      <c r="J284" s="64"/>
      <c r="K284" s="64"/>
      <c r="L284" s="45"/>
      <c r="M284" s="43"/>
      <c r="N284" s="71">
        <f>ROW()</f>
        <v>284</v>
      </c>
      <c r="O284" s="71" t="str">
        <f>IF(ISNUMBER(SEARCH(Invoice!$Q$14,C284)),N284,"")</f>
        <v/>
      </c>
      <c r="P284" s="74" t="str">
        <f>IFERROR(SMALL(O284:O751,ROWS($O$2:O284)),"")</f>
        <v/>
      </c>
      <c r="Q284" s="43"/>
      <c r="R284" s="43"/>
    </row>
    <row r="285" spans="1:18" x14ac:dyDescent="0.3">
      <c r="A285" s="39"/>
      <c r="B285" s="40"/>
      <c r="C285" s="40"/>
      <c r="D285" s="40"/>
      <c r="E285" s="40"/>
      <c r="F285" s="40"/>
      <c r="G285" s="40"/>
      <c r="H285" s="63"/>
      <c r="I285" s="63"/>
      <c r="J285" s="63"/>
      <c r="K285" s="63"/>
      <c r="L285" s="40"/>
      <c r="N285" s="71">
        <f>ROW()</f>
        <v>285</v>
      </c>
      <c r="O285" s="71" t="str">
        <f>IF(ISNUMBER(SEARCH(Invoice!$Q$14,C285)),N285,"")</f>
        <v/>
      </c>
      <c r="P285" s="74" t="str">
        <f>IFERROR(SMALL(O285:O752,ROWS($O$2:O285)),"")</f>
        <v/>
      </c>
    </row>
    <row r="286" spans="1:18" x14ac:dyDescent="0.3">
      <c r="A286" s="44"/>
      <c r="B286" s="45"/>
      <c r="C286" s="45"/>
      <c r="D286" s="45"/>
      <c r="E286" s="45"/>
      <c r="F286" s="45"/>
      <c r="G286" s="45"/>
      <c r="H286" s="64"/>
      <c r="I286" s="64"/>
      <c r="J286" s="64"/>
      <c r="K286" s="64"/>
      <c r="L286" s="45"/>
      <c r="M286" s="43"/>
      <c r="N286" s="71">
        <f>ROW()</f>
        <v>286</v>
      </c>
      <c r="O286" s="71" t="str">
        <f>IF(ISNUMBER(SEARCH(Invoice!$Q$14,C286)),N286,"")</f>
        <v/>
      </c>
      <c r="P286" s="74" t="str">
        <f>IFERROR(SMALL(O286:O753,ROWS($O$2:O286)),"")</f>
        <v/>
      </c>
      <c r="Q286" s="43"/>
      <c r="R286" s="43"/>
    </row>
    <row r="287" spans="1:18" x14ac:dyDescent="0.3">
      <c r="A287" s="39"/>
      <c r="B287" s="40"/>
      <c r="C287" s="40"/>
      <c r="D287" s="40"/>
      <c r="E287" s="40"/>
      <c r="F287" s="40"/>
      <c r="G287" s="40"/>
      <c r="H287" s="63"/>
      <c r="I287" s="63"/>
      <c r="J287" s="63"/>
      <c r="K287" s="63"/>
      <c r="L287" s="40"/>
      <c r="N287" s="71">
        <f>ROW()</f>
        <v>287</v>
      </c>
      <c r="O287" s="71" t="str">
        <f>IF(ISNUMBER(SEARCH(Invoice!$Q$14,C287)),N287,"")</f>
        <v/>
      </c>
      <c r="P287" s="74" t="str">
        <f>IFERROR(SMALL(O287:O754,ROWS($O$2:O287)),"")</f>
        <v/>
      </c>
    </row>
    <row r="288" spans="1:18" x14ac:dyDescent="0.3">
      <c r="A288" s="44"/>
      <c r="B288" s="45"/>
      <c r="C288" s="45"/>
      <c r="D288" s="45"/>
      <c r="E288" s="45"/>
      <c r="F288" s="45"/>
      <c r="G288" s="45"/>
      <c r="H288" s="64"/>
      <c r="I288" s="64"/>
      <c r="J288" s="64"/>
      <c r="K288" s="64"/>
      <c r="L288" s="45"/>
      <c r="M288" s="43"/>
      <c r="N288" s="71">
        <f>ROW()</f>
        <v>288</v>
      </c>
      <c r="O288" s="71" t="str">
        <f>IF(ISNUMBER(SEARCH(Invoice!$Q$14,C288)),N288,"")</f>
        <v/>
      </c>
      <c r="P288" s="74" t="str">
        <f>IFERROR(SMALL(O288:O755,ROWS($O$2:O288)),"")</f>
        <v/>
      </c>
      <c r="Q288" s="43"/>
      <c r="R288" s="43"/>
    </row>
    <row r="289" spans="1:18" x14ac:dyDescent="0.3">
      <c r="A289" s="39"/>
      <c r="B289" s="40"/>
      <c r="C289" s="40"/>
      <c r="D289" s="40"/>
      <c r="E289" s="40"/>
      <c r="F289" s="40"/>
      <c r="G289" s="40"/>
      <c r="H289" s="63"/>
      <c r="I289" s="63"/>
      <c r="J289" s="63"/>
      <c r="K289" s="63"/>
      <c r="L289" s="40"/>
      <c r="N289" s="71">
        <f>ROW()</f>
        <v>289</v>
      </c>
      <c r="O289" s="71" t="str">
        <f>IF(ISNUMBER(SEARCH(Invoice!$Q$14,C289)),N289,"")</f>
        <v/>
      </c>
      <c r="P289" s="74" t="str">
        <f>IFERROR(SMALL(O289:O756,ROWS($O$2:O289)),"")</f>
        <v/>
      </c>
    </row>
    <row r="290" spans="1:18" x14ac:dyDescent="0.3">
      <c r="A290" s="44"/>
      <c r="B290" s="45"/>
      <c r="C290" s="45"/>
      <c r="D290" s="45"/>
      <c r="E290" s="45"/>
      <c r="F290" s="45"/>
      <c r="G290" s="45"/>
      <c r="H290" s="64"/>
      <c r="I290" s="64"/>
      <c r="J290" s="64"/>
      <c r="K290" s="64"/>
      <c r="L290" s="45"/>
      <c r="M290" s="43"/>
      <c r="N290" s="71">
        <f>ROW()</f>
        <v>290</v>
      </c>
      <c r="O290" s="71" t="str">
        <f>IF(ISNUMBER(SEARCH(Invoice!$Q$14,C290)),N290,"")</f>
        <v/>
      </c>
      <c r="P290" s="74" t="str">
        <f>IFERROR(SMALL(O290:O757,ROWS($O$2:O290)),"")</f>
        <v/>
      </c>
      <c r="Q290" s="43"/>
      <c r="R290" s="43"/>
    </row>
    <row r="291" spans="1:18" x14ac:dyDescent="0.3">
      <c r="A291" s="39"/>
      <c r="B291" s="40"/>
      <c r="C291" s="40"/>
      <c r="D291" s="40"/>
      <c r="E291" s="40"/>
      <c r="F291" s="40"/>
      <c r="G291" s="40"/>
      <c r="H291" s="63"/>
      <c r="I291" s="63"/>
      <c r="J291" s="63"/>
      <c r="K291" s="63"/>
      <c r="L291" s="40"/>
      <c r="N291" s="71">
        <f>ROW()</f>
        <v>291</v>
      </c>
      <c r="O291" s="71" t="str">
        <f>IF(ISNUMBER(SEARCH(Invoice!$Q$14,C291)),N291,"")</f>
        <v/>
      </c>
      <c r="P291" s="74" t="str">
        <f>IFERROR(SMALL(O291:O758,ROWS($O$2:O291)),"")</f>
        <v/>
      </c>
    </row>
    <row r="292" spans="1:18" x14ac:dyDescent="0.3">
      <c r="A292" s="44"/>
      <c r="B292" s="45"/>
      <c r="C292" s="45"/>
      <c r="D292" s="45"/>
      <c r="E292" s="45"/>
      <c r="F292" s="45"/>
      <c r="G292" s="45"/>
      <c r="H292" s="64"/>
      <c r="I292" s="64"/>
      <c r="J292" s="64"/>
      <c r="K292" s="64"/>
      <c r="L292" s="45"/>
      <c r="M292" s="43"/>
      <c r="N292" s="71">
        <f>ROW()</f>
        <v>292</v>
      </c>
      <c r="O292" s="71" t="str">
        <f>IF(ISNUMBER(SEARCH(Invoice!$Q$14,C292)),N292,"")</f>
        <v/>
      </c>
      <c r="P292" s="74" t="str">
        <f>IFERROR(SMALL(O292:O759,ROWS($O$2:O292)),"")</f>
        <v/>
      </c>
      <c r="Q292" s="43"/>
      <c r="R292" s="43"/>
    </row>
    <row r="293" spans="1:18" x14ac:dyDescent="0.3">
      <c r="A293" s="39"/>
      <c r="B293" s="40"/>
      <c r="C293" s="40"/>
      <c r="D293" s="40"/>
      <c r="E293" s="40"/>
      <c r="F293" s="40"/>
      <c r="G293" s="40"/>
      <c r="H293" s="63"/>
      <c r="I293" s="63"/>
      <c r="J293" s="63"/>
      <c r="K293" s="63"/>
      <c r="L293" s="40"/>
      <c r="N293" s="71">
        <f>ROW()</f>
        <v>293</v>
      </c>
      <c r="O293" s="71" t="str">
        <f>IF(ISNUMBER(SEARCH(Invoice!$Q$14,C293)),N293,"")</f>
        <v/>
      </c>
      <c r="P293" s="74" t="str">
        <f>IFERROR(SMALL(O293:O760,ROWS($O$2:O293)),"")</f>
        <v/>
      </c>
    </row>
    <row r="294" spans="1:18" x14ac:dyDescent="0.3">
      <c r="A294" s="44"/>
      <c r="B294" s="45"/>
      <c r="C294" s="45"/>
      <c r="D294" s="45"/>
      <c r="E294" s="45"/>
      <c r="F294" s="45"/>
      <c r="G294" s="45"/>
      <c r="H294" s="64"/>
      <c r="I294" s="64"/>
      <c r="J294" s="64"/>
      <c r="K294" s="64"/>
      <c r="L294" s="45"/>
      <c r="M294" s="43"/>
      <c r="N294" s="71">
        <f>ROW()</f>
        <v>294</v>
      </c>
      <c r="O294" s="71" t="str">
        <f>IF(ISNUMBER(SEARCH(Invoice!$Q$14,C294)),N294,"")</f>
        <v/>
      </c>
      <c r="P294" s="74" t="str">
        <f>IFERROR(SMALL(O294:O761,ROWS($O$2:O294)),"")</f>
        <v/>
      </c>
      <c r="Q294" s="43"/>
      <c r="R294" s="43"/>
    </row>
    <row r="295" spans="1:18" x14ac:dyDescent="0.3">
      <c r="A295" s="39"/>
      <c r="B295" s="40"/>
      <c r="C295" s="40"/>
      <c r="D295" s="40"/>
      <c r="E295" s="40"/>
      <c r="F295" s="40"/>
      <c r="G295" s="40"/>
      <c r="H295" s="63"/>
      <c r="I295" s="63"/>
      <c r="J295" s="63"/>
      <c r="K295" s="63"/>
      <c r="L295" s="40"/>
      <c r="N295" s="71">
        <f>ROW()</f>
        <v>295</v>
      </c>
      <c r="O295" s="71" t="str">
        <f>IF(ISNUMBER(SEARCH(Invoice!$Q$14,C295)),N295,"")</f>
        <v/>
      </c>
      <c r="P295" s="74" t="str">
        <f>IFERROR(SMALL(O295:O762,ROWS($O$2:O295)),"")</f>
        <v/>
      </c>
    </row>
    <row r="296" spans="1:18" x14ac:dyDescent="0.3">
      <c r="A296" s="44"/>
      <c r="B296" s="45"/>
      <c r="C296" s="45"/>
      <c r="D296" s="45"/>
      <c r="E296" s="45"/>
      <c r="F296" s="45"/>
      <c r="G296" s="45"/>
      <c r="H296" s="64"/>
      <c r="I296" s="64"/>
      <c r="J296" s="64"/>
      <c r="K296" s="64"/>
      <c r="L296" s="45"/>
      <c r="M296" s="43"/>
      <c r="N296" s="71">
        <f>ROW()</f>
        <v>296</v>
      </c>
      <c r="O296" s="71" t="str">
        <f>IF(ISNUMBER(SEARCH(Invoice!$Q$14,C296)),N296,"")</f>
        <v/>
      </c>
      <c r="P296" s="74" t="str">
        <f>IFERROR(SMALL(O296:O763,ROWS($O$2:O296)),"")</f>
        <v/>
      </c>
      <c r="Q296" s="43"/>
      <c r="R296" s="43"/>
    </row>
    <row r="297" spans="1:18" x14ac:dyDescent="0.3">
      <c r="A297" s="39"/>
      <c r="B297" s="40"/>
      <c r="C297" s="40"/>
      <c r="D297" s="40"/>
      <c r="E297" s="40"/>
      <c r="F297" s="40"/>
      <c r="G297" s="40"/>
      <c r="H297" s="63"/>
      <c r="I297" s="63"/>
      <c r="J297" s="63"/>
      <c r="K297" s="63"/>
      <c r="L297" s="40"/>
      <c r="N297" s="71">
        <f>ROW()</f>
        <v>297</v>
      </c>
      <c r="O297" s="71" t="str">
        <f>IF(ISNUMBER(SEARCH(Invoice!$Q$14,C297)),N297,"")</f>
        <v/>
      </c>
      <c r="P297" s="74" t="str">
        <f>IFERROR(SMALL(O297:O764,ROWS($O$2:O297)),"")</f>
        <v/>
      </c>
    </row>
    <row r="298" spans="1:18" x14ac:dyDescent="0.3">
      <c r="A298" s="44"/>
      <c r="B298" s="45"/>
      <c r="C298" s="45"/>
      <c r="D298" s="45"/>
      <c r="E298" s="45"/>
      <c r="F298" s="45"/>
      <c r="G298" s="45"/>
      <c r="H298" s="64"/>
      <c r="I298" s="64"/>
      <c r="J298" s="64"/>
      <c r="K298" s="64"/>
      <c r="L298" s="45"/>
      <c r="M298" s="43"/>
      <c r="N298" s="71">
        <f>ROW()</f>
        <v>298</v>
      </c>
      <c r="O298" s="71" t="str">
        <f>IF(ISNUMBER(SEARCH(Invoice!$Q$14,C298)),N298,"")</f>
        <v/>
      </c>
      <c r="P298" s="74" t="str">
        <f>IFERROR(SMALL(O298:O765,ROWS($O$2:O298)),"")</f>
        <v/>
      </c>
      <c r="Q298" s="43"/>
      <c r="R298" s="43"/>
    </row>
    <row r="299" spans="1:18" x14ac:dyDescent="0.3">
      <c r="A299" s="39"/>
      <c r="B299" s="40"/>
      <c r="C299" s="40"/>
      <c r="D299" s="40"/>
      <c r="E299" s="40"/>
      <c r="F299" s="40"/>
      <c r="G299" s="40"/>
      <c r="H299" s="63"/>
      <c r="I299" s="63"/>
      <c r="J299" s="63"/>
      <c r="K299" s="63"/>
      <c r="L299" s="40"/>
      <c r="N299" s="71">
        <f>ROW()</f>
        <v>299</v>
      </c>
      <c r="O299" s="71" t="str">
        <f>IF(ISNUMBER(SEARCH(Invoice!$Q$14,C299)),N299,"")</f>
        <v/>
      </c>
      <c r="P299" s="74" t="str">
        <f>IFERROR(SMALL(O299:O766,ROWS($O$2:O299)),"")</f>
        <v/>
      </c>
    </row>
    <row r="300" spans="1:18" x14ac:dyDescent="0.3">
      <c r="A300" s="44"/>
      <c r="B300" s="45"/>
      <c r="C300" s="45"/>
      <c r="D300" s="45"/>
      <c r="E300" s="45"/>
      <c r="F300" s="45"/>
      <c r="G300" s="45"/>
      <c r="H300" s="64"/>
      <c r="I300" s="64"/>
      <c r="J300" s="64"/>
      <c r="K300" s="64"/>
      <c r="L300" s="45"/>
      <c r="M300" s="43"/>
      <c r="N300" s="71">
        <f>ROW()</f>
        <v>300</v>
      </c>
      <c r="O300" s="71" t="str">
        <f>IF(ISNUMBER(SEARCH(Invoice!$Q$14,C300)),N300,"")</f>
        <v/>
      </c>
      <c r="P300" s="74" t="str">
        <f>IFERROR(SMALL(O300:O767,ROWS($O$2:O300)),"")</f>
        <v/>
      </c>
      <c r="Q300" s="43"/>
      <c r="R300" s="43"/>
    </row>
    <row r="301" spans="1:18" x14ac:dyDescent="0.3">
      <c r="A301" s="39"/>
      <c r="B301" s="40"/>
      <c r="C301" s="40"/>
      <c r="D301" s="40"/>
      <c r="E301" s="40"/>
      <c r="F301" s="40"/>
      <c r="G301" s="40"/>
      <c r="H301" s="63"/>
      <c r="I301" s="63"/>
      <c r="J301" s="63"/>
      <c r="K301" s="63"/>
      <c r="L301" s="40"/>
      <c r="N301" s="71">
        <f>ROW()</f>
        <v>301</v>
      </c>
      <c r="O301" s="71" t="str">
        <f>IF(ISNUMBER(SEARCH(Invoice!$Q$14,C301)),N301,"")</f>
        <v/>
      </c>
      <c r="P301" s="74" t="str">
        <f>IFERROR(SMALL(O301:O768,ROWS($O$2:O301)),"")</f>
        <v/>
      </c>
    </row>
    <row r="302" spans="1:18" x14ac:dyDescent="0.3">
      <c r="A302" s="44"/>
      <c r="B302" s="45"/>
      <c r="C302" s="45"/>
      <c r="D302" s="45"/>
      <c r="E302" s="45"/>
      <c r="F302" s="45"/>
      <c r="G302" s="45"/>
      <c r="H302" s="64"/>
      <c r="I302" s="64"/>
      <c r="J302" s="64"/>
      <c r="K302" s="64"/>
      <c r="L302" s="45"/>
      <c r="M302" s="43"/>
      <c r="N302" s="71">
        <f>ROW()</f>
        <v>302</v>
      </c>
      <c r="O302" s="71" t="str">
        <f>IF(ISNUMBER(SEARCH(Invoice!$Q$14,C302)),N302,"")</f>
        <v/>
      </c>
      <c r="P302" s="74" t="str">
        <f>IFERROR(SMALL(O302:O769,ROWS($O$2:O302)),"")</f>
        <v/>
      </c>
      <c r="Q302" s="43"/>
      <c r="R302" s="43"/>
    </row>
    <row r="303" spans="1:18" x14ac:dyDescent="0.3">
      <c r="A303" s="39"/>
      <c r="B303" s="40"/>
      <c r="C303" s="40"/>
      <c r="D303" s="40"/>
      <c r="E303" s="40"/>
      <c r="F303" s="40"/>
      <c r="G303" s="40"/>
      <c r="H303" s="63"/>
      <c r="I303" s="63"/>
      <c r="J303" s="63"/>
      <c r="K303" s="63"/>
      <c r="L303" s="40"/>
      <c r="N303" s="71">
        <f>ROW()</f>
        <v>303</v>
      </c>
      <c r="O303" s="71" t="str">
        <f>IF(ISNUMBER(SEARCH(Invoice!$Q$14,C303)),N303,"")</f>
        <v/>
      </c>
      <c r="P303" s="74" t="str">
        <f>IFERROR(SMALL(O303:O770,ROWS($O$2:O303)),"")</f>
        <v/>
      </c>
    </row>
    <row r="304" spans="1:18" x14ac:dyDescent="0.3">
      <c r="A304" s="44"/>
      <c r="B304" s="45"/>
      <c r="C304" s="45"/>
      <c r="D304" s="45"/>
      <c r="E304" s="45"/>
      <c r="F304" s="45"/>
      <c r="G304" s="45"/>
      <c r="H304" s="64"/>
      <c r="I304" s="64"/>
      <c r="J304" s="64"/>
      <c r="K304" s="64"/>
      <c r="L304" s="45"/>
      <c r="M304" s="43"/>
      <c r="N304" s="71">
        <f>ROW()</f>
        <v>304</v>
      </c>
      <c r="O304" s="71" t="str">
        <f>IF(ISNUMBER(SEARCH(Invoice!$Q$14,C304)),N304,"")</f>
        <v/>
      </c>
      <c r="P304" s="74" t="str">
        <f>IFERROR(SMALL(O304:O771,ROWS($O$2:O304)),"")</f>
        <v/>
      </c>
      <c r="Q304" s="43"/>
      <c r="R304" s="43"/>
    </row>
    <row r="305" spans="1:18" x14ac:dyDescent="0.3">
      <c r="A305" s="39"/>
      <c r="B305" s="40"/>
      <c r="C305" s="40"/>
      <c r="D305" s="40"/>
      <c r="E305" s="40"/>
      <c r="F305" s="40"/>
      <c r="G305" s="40"/>
      <c r="H305" s="63"/>
      <c r="I305" s="63"/>
      <c r="J305" s="63"/>
      <c r="K305" s="63"/>
      <c r="L305" s="40"/>
      <c r="N305" s="71">
        <f>ROW()</f>
        <v>305</v>
      </c>
      <c r="O305" s="71" t="str">
        <f>IF(ISNUMBER(SEARCH(Invoice!$Q$14,C305)),N305,"")</f>
        <v/>
      </c>
      <c r="P305" s="74" t="str">
        <f>IFERROR(SMALL(O305:O772,ROWS($O$2:O305)),"")</f>
        <v/>
      </c>
    </row>
    <row r="306" spans="1:18" x14ac:dyDescent="0.3">
      <c r="A306" s="44"/>
      <c r="B306" s="45"/>
      <c r="C306" s="45"/>
      <c r="D306" s="45"/>
      <c r="E306" s="45"/>
      <c r="F306" s="45"/>
      <c r="G306" s="45"/>
      <c r="H306" s="64"/>
      <c r="I306" s="64"/>
      <c r="J306" s="64"/>
      <c r="K306" s="64"/>
      <c r="L306" s="45"/>
      <c r="M306" s="43"/>
      <c r="N306" s="71">
        <f>ROW()</f>
        <v>306</v>
      </c>
      <c r="O306" s="71" t="str">
        <f>IF(ISNUMBER(SEARCH(Invoice!$Q$14,C306)),N306,"")</f>
        <v/>
      </c>
      <c r="P306" s="74" t="str">
        <f>IFERROR(SMALL(O306:O773,ROWS($O$2:O306)),"")</f>
        <v/>
      </c>
      <c r="Q306" s="43"/>
      <c r="R306" s="43"/>
    </row>
    <row r="307" spans="1:18" x14ac:dyDescent="0.3">
      <c r="A307" s="39"/>
      <c r="B307" s="40"/>
      <c r="C307" s="40"/>
      <c r="D307" s="40"/>
      <c r="E307" s="40"/>
      <c r="F307" s="40"/>
      <c r="G307" s="40"/>
      <c r="H307" s="63"/>
      <c r="I307" s="63"/>
      <c r="J307" s="63"/>
      <c r="K307" s="63"/>
      <c r="L307" s="40"/>
      <c r="N307" s="71">
        <f>ROW()</f>
        <v>307</v>
      </c>
      <c r="O307" s="71" t="str">
        <f>IF(ISNUMBER(SEARCH(Invoice!$Q$14,C307)),N307,"")</f>
        <v/>
      </c>
      <c r="P307" s="74" t="str">
        <f>IFERROR(SMALL(O307:O774,ROWS($O$2:O307)),"")</f>
        <v/>
      </c>
    </row>
    <row r="308" spans="1:18" x14ac:dyDescent="0.3">
      <c r="A308" s="44"/>
      <c r="B308" s="45"/>
      <c r="C308" s="45"/>
      <c r="D308" s="45"/>
      <c r="E308" s="45"/>
      <c r="F308" s="45"/>
      <c r="G308" s="45"/>
      <c r="H308" s="64"/>
      <c r="I308" s="64"/>
      <c r="J308" s="64"/>
      <c r="K308" s="64"/>
      <c r="L308" s="45"/>
      <c r="M308" s="43"/>
      <c r="N308" s="71">
        <f>ROW()</f>
        <v>308</v>
      </c>
      <c r="O308" s="71" t="str">
        <f>IF(ISNUMBER(SEARCH(Invoice!$Q$14,C308)),N308,"")</f>
        <v/>
      </c>
      <c r="P308" s="74" t="str">
        <f>IFERROR(SMALL(O308:O775,ROWS($O$2:O308)),"")</f>
        <v/>
      </c>
      <c r="Q308" s="43"/>
      <c r="R308" s="43"/>
    </row>
    <row r="309" spans="1:18" x14ac:dyDescent="0.3">
      <c r="A309" s="39"/>
      <c r="B309" s="40"/>
      <c r="C309" s="40"/>
      <c r="D309" s="40"/>
      <c r="E309" s="40"/>
      <c r="F309" s="40"/>
      <c r="G309" s="40"/>
      <c r="H309" s="63"/>
      <c r="I309" s="63"/>
      <c r="J309" s="63"/>
      <c r="K309" s="63"/>
      <c r="L309" s="40"/>
      <c r="N309" s="71">
        <f>ROW()</f>
        <v>309</v>
      </c>
      <c r="O309" s="71" t="str">
        <f>IF(ISNUMBER(SEARCH(Invoice!$Q$14,C309)),N309,"")</f>
        <v/>
      </c>
      <c r="P309" s="74" t="str">
        <f>IFERROR(SMALL(O309:O776,ROWS($O$2:O309)),"")</f>
        <v/>
      </c>
    </row>
    <row r="310" spans="1:18" x14ac:dyDescent="0.3">
      <c r="A310" s="44"/>
      <c r="B310" s="45"/>
      <c r="C310" s="45"/>
      <c r="D310" s="45"/>
      <c r="E310" s="45"/>
      <c r="F310" s="45"/>
      <c r="G310" s="45"/>
      <c r="H310" s="64"/>
      <c r="I310" s="64"/>
      <c r="J310" s="64"/>
      <c r="K310" s="64"/>
      <c r="L310" s="45"/>
      <c r="M310" s="43"/>
      <c r="N310" s="71">
        <f>ROW()</f>
        <v>310</v>
      </c>
      <c r="O310" s="71" t="str">
        <f>IF(ISNUMBER(SEARCH(Invoice!$Q$14,C310)),N310,"")</f>
        <v/>
      </c>
      <c r="P310" s="74" t="str">
        <f>IFERROR(SMALL(O310:O777,ROWS($O$2:O310)),"")</f>
        <v/>
      </c>
      <c r="Q310" s="43"/>
      <c r="R310" s="43"/>
    </row>
    <row r="311" spans="1:18" x14ac:dyDescent="0.3">
      <c r="A311" s="39"/>
      <c r="B311" s="40"/>
      <c r="C311" s="40"/>
      <c r="D311" s="40"/>
      <c r="E311" s="40"/>
      <c r="F311" s="40"/>
      <c r="G311" s="40"/>
      <c r="H311" s="63"/>
      <c r="I311" s="63"/>
      <c r="J311" s="63"/>
      <c r="K311" s="63"/>
      <c r="L311" s="40"/>
      <c r="N311" s="71">
        <f>ROW()</f>
        <v>311</v>
      </c>
      <c r="O311" s="71" t="str">
        <f>IF(ISNUMBER(SEARCH(Invoice!$Q$14,C311)),N311,"")</f>
        <v/>
      </c>
      <c r="P311" s="74" t="str">
        <f>IFERROR(SMALL(O311:O778,ROWS($O$2:O311)),"")</f>
        <v/>
      </c>
    </row>
    <row r="312" spans="1:18" x14ac:dyDescent="0.3">
      <c r="A312" s="44"/>
      <c r="B312" s="45"/>
      <c r="C312" s="45"/>
      <c r="D312" s="45"/>
      <c r="E312" s="45"/>
      <c r="F312" s="45"/>
      <c r="G312" s="45"/>
      <c r="H312" s="64"/>
      <c r="I312" s="64"/>
      <c r="J312" s="64"/>
      <c r="K312" s="64"/>
      <c r="L312" s="45"/>
      <c r="M312" s="43"/>
      <c r="N312" s="71">
        <f>ROW()</f>
        <v>312</v>
      </c>
      <c r="O312" s="71" t="str">
        <f>IF(ISNUMBER(SEARCH(Invoice!$Q$14,C312)),N312,"")</f>
        <v/>
      </c>
      <c r="P312" s="74" t="str">
        <f>IFERROR(SMALL(O312:O779,ROWS($O$2:O312)),"")</f>
        <v/>
      </c>
      <c r="Q312" s="43"/>
      <c r="R312" s="43"/>
    </row>
    <row r="313" spans="1:18" x14ac:dyDescent="0.3">
      <c r="A313" s="39"/>
      <c r="B313" s="40"/>
      <c r="C313" s="40"/>
      <c r="D313" s="40"/>
      <c r="E313" s="40"/>
      <c r="F313" s="40"/>
      <c r="G313" s="40"/>
      <c r="H313" s="63"/>
      <c r="I313" s="63"/>
      <c r="J313" s="63"/>
      <c r="K313" s="63"/>
      <c r="L313" s="40"/>
      <c r="N313" s="71">
        <f>ROW()</f>
        <v>313</v>
      </c>
      <c r="O313" s="71" t="str">
        <f>IF(ISNUMBER(SEARCH(Invoice!$Q$14,C313)),N313,"")</f>
        <v/>
      </c>
      <c r="P313" s="74" t="str">
        <f>IFERROR(SMALL(O313:O780,ROWS($O$2:O313)),"")</f>
        <v/>
      </c>
    </row>
    <row r="314" spans="1:18" x14ac:dyDescent="0.3">
      <c r="A314" s="44"/>
      <c r="B314" s="45"/>
      <c r="C314" s="45"/>
      <c r="D314" s="45"/>
      <c r="E314" s="45"/>
      <c r="F314" s="45"/>
      <c r="G314" s="45"/>
      <c r="H314" s="64"/>
      <c r="I314" s="64"/>
      <c r="J314" s="64"/>
      <c r="K314" s="64"/>
      <c r="L314" s="45"/>
      <c r="M314" s="43"/>
      <c r="N314" s="71">
        <f>ROW()</f>
        <v>314</v>
      </c>
      <c r="O314" s="71" t="str">
        <f>IF(ISNUMBER(SEARCH(Invoice!$Q$14,C314)),N314,"")</f>
        <v/>
      </c>
      <c r="P314" s="74" t="str">
        <f>IFERROR(SMALL(O314:O781,ROWS($O$2:O314)),"")</f>
        <v/>
      </c>
      <c r="Q314" s="43"/>
      <c r="R314" s="43"/>
    </row>
    <row r="315" spans="1:18" x14ac:dyDescent="0.3">
      <c r="A315" s="39"/>
      <c r="B315" s="40"/>
      <c r="C315" s="40"/>
      <c r="D315" s="40"/>
      <c r="E315" s="40"/>
      <c r="F315" s="40"/>
      <c r="G315" s="40"/>
      <c r="H315" s="63"/>
      <c r="I315" s="63"/>
      <c r="J315" s="63"/>
      <c r="K315" s="63"/>
      <c r="L315" s="40"/>
      <c r="N315" s="71">
        <f>ROW()</f>
        <v>315</v>
      </c>
      <c r="O315" s="71" t="str">
        <f>IF(ISNUMBER(SEARCH(Invoice!$Q$14,C315)),N315,"")</f>
        <v/>
      </c>
      <c r="P315" s="74" t="str">
        <f>IFERROR(SMALL(O315:O782,ROWS($O$2:O315)),"")</f>
        <v/>
      </c>
    </row>
    <row r="316" spans="1:18" x14ac:dyDescent="0.3">
      <c r="A316" s="44"/>
      <c r="B316" s="45"/>
      <c r="C316" s="45"/>
      <c r="D316" s="45"/>
      <c r="E316" s="45"/>
      <c r="F316" s="45"/>
      <c r="G316" s="45"/>
      <c r="H316" s="64"/>
      <c r="I316" s="64"/>
      <c r="J316" s="64"/>
      <c r="K316" s="64"/>
      <c r="L316" s="45"/>
      <c r="M316" s="43"/>
      <c r="N316" s="71">
        <f>ROW()</f>
        <v>316</v>
      </c>
      <c r="O316" s="71" t="str">
        <f>IF(ISNUMBER(SEARCH(Invoice!$Q$14,C316)),N316,"")</f>
        <v/>
      </c>
      <c r="P316" s="74" t="str">
        <f>IFERROR(SMALL(O316:O783,ROWS($O$2:O316)),"")</f>
        <v/>
      </c>
      <c r="Q316" s="43"/>
      <c r="R316" s="43"/>
    </row>
    <row r="317" spans="1:18" x14ac:dyDescent="0.3">
      <c r="A317" s="39"/>
      <c r="B317" s="40"/>
      <c r="C317" s="40"/>
      <c r="D317" s="40"/>
      <c r="E317" s="40"/>
      <c r="F317" s="40"/>
      <c r="G317" s="40"/>
      <c r="H317" s="63"/>
      <c r="I317" s="63"/>
      <c r="J317" s="63"/>
      <c r="K317" s="63"/>
      <c r="L317" s="40"/>
      <c r="N317" s="71">
        <f>ROW()</f>
        <v>317</v>
      </c>
      <c r="O317" s="71" t="str">
        <f>IF(ISNUMBER(SEARCH(Invoice!$Q$14,C317)),N317,"")</f>
        <v/>
      </c>
      <c r="P317" s="74" t="str">
        <f>IFERROR(SMALL(O317:O784,ROWS($O$2:O317)),"")</f>
        <v/>
      </c>
    </row>
    <row r="318" spans="1:18" x14ac:dyDescent="0.3">
      <c r="A318" s="44"/>
      <c r="B318" s="45"/>
      <c r="C318" s="45"/>
      <c r="D318" s="45"/>
      <c r="E318" s="45"/>
      <c r="F318" s="45"/>
      <c r="G318" s="45"/>
      <c r="H318" s="64"/>
      <c r="I318" s="64"/>
      <c r="J318" s="64"/>
      <c r="K318" s="64"/>
      <c r="L318" s="45"/>
      <c r="M318" s="43"/>
      <c r="N318" s="71">
        <f>ROW()</f>
        <v>318</v>
      </c>
      <c r="O318" s="71" t="str">
        <f>IF(ISNUMBER(SEARCH(Invoice!$Q$14,C318)),N318,"")</f>
        <v/>
      </c>
      <c r="P318" s="74" t="str">
        <f>IFERROR(SMALL(O318:O785,ROWS($O$2:O318)),"")</f>
        <v/>
      </c>
      <c r="Q318" s="43"/>
      <c r="R318" s="43"/>
    </row>
    <row r="319" spans="1:18" x14ac:dyDescent="0.3">
      <c r="A319" s="39"/>
      <c r="B319" s="40"/>
      <c r="C319" s="40"/>
      <c r="D319" s="40"/>
      <c r="E319" s="40"/>
      <c r="F319" s="40"/>
      <c r="G319" s="40"/>
      <c r="H319" s="63"/>
      <c r="I319" s="63"/>
      <c r="J319" s="63"/>
      <c r="K319" s="63"/>
      <c r="L319" s="40"/>
      <c r="N319" s="71">
        <f>ROW()</f>
        <v>319</v>
      </c>
      <c r="O319" s="71" t="str">
        <f>IF(ISNUMBER(SEARCH(Invoice!$Q$14,C319)),N319,"")</f>
        <v/>
      </c>
      <c r="P319" s="74" t="str">
        <f>IFERROR(SMALL(O319:O786,ROWS($O$2:O319)),"")</f>
        <v/>
      </c>
    </row>
    <row r="320" spans="1:18" x14ac:dyDescent="0.3">
      <c r="A320" s="44"/>
      <c r="B320" s="45"/>
      <c r="C320" s="45"/>
      <c r="D320" s="45"/>
      <c r="E320" s="45"/>
      <c r="F320" s="45"/>
      <c r="G320" s="45"/>
      <c r="H320" s="64"/>
      <c r="I320" s="64"/>
      <c r="J320" s="64"/>
      <c r="K320" s="64"/>
      <c r="L320" s="45"/>
      <c r="M320" s="43"/>
      <c r="N320" s="71">
        <f>ROW()</f>
        <v>320</v>
      </c>
      <c r="O320" s="71" t="str">
        <f>IF(ISNUMBER(SEARCH(Invoice!$Q$14,C320)),N320,"")</f>
        <v/>
      </c>
      <c r="P320" s="74" t="str">
        <f>IFERROR(SMALL(O320:O787,ROWS($O$2:O320)),"")</f>
        <v/>
      </c>
      <c r="Q320" s="43"/>
      <c r="R320" s="43"/>
    </row>
    <row r="321" spans="1:18" x14ac:dyDescent="0.3">
      <c r="A321" s="39"/>
      <c r="B321" s="40"/>
      <c r="C321" s="40"/>
      <c r="D321" s="40"/>
      <c r="E321" s="40"/>
      <c r="F321" s="40"/>
      <c r="G321" s="40"/>
      <c r="H321" s="63"/>
      <c r="I321" s="63"/>
      <c r="J321" s="63"/>
      <c r="K321" s="63"/>
      <c r="L321" s="40"/>
      <c r="N321" s="71">
        <f>ROW()</f>
        <v>321</v>
      </c>
      <c r="O321" s="71" t="str">
        <f>IF(ISNUMBER(SEARCH(Invoice!$Q$14,C321)),N321,"")</f>
        <v/>
      </c>
      <c r="P321" s="74" t="str">
        <f>IFERROR(SMALL(O321:O788,ROWS($O$2:O321)),"")</f>
        <v/>
      </c>
    </row>
    <row r="322" spans="1:18" x14ac:dyDescent="0.3">
      <c r="A322" s="44"/>
      <c r="B322" s="45"/>
      <c r="C322" s="45"/>
      <c r="D322" s="45"/>
      <c r="E322" s="45"/>
      <c r="F322" s="45"/>
      <c r="G322" s="45"/>
      <c r="H322" s="64"/>
      <c r="I322" s="64"/>
      <c r="J322" s="64"/>
      <c r="K322" s="64"/>
      <c r="L322" s="45"/>
      <c r="M322" s="43"/>
      <c r="N322" s="71">
        <f>ROW()</f>
        <v>322</v>
      </c>
      <c r="O322" s="71" t="str">
        <f>IF(ISNUMBER(SEARCH(Invoice!$Q$14,C322)),N322,"")</f>
        <v/>
      </c>
      <c r="P322" s="74" t="str">
        <f>IFERROR(SMALL(O322:O789,ROWS($O$2:O322)),"")</f>
        <v/>
      </c>
      <c r="Q322" s="43"/>
      <c r="R322" s="43"/>
    </row>
    <row r="323" spans="1:18" x14ac:dyDescent="0.3">
      <c r="A323" s="39"/>
      <c r="B323" s="40"/>
      <c r="C323" s="40"/>
      <c r="D323" s="40"/>
      <c r="E323" s="40"/>
      <c r="F323" s="40"/>
      <c r="G323" s="40"/>
      <c r="H323" s="63"/>
      <c r="I323" s="63"/>
      <c r="J323" s="63"/>
      <c r="K323" s="63"/>
      <c r="L323" s="40"/>
      <c r="N323" s="71">
        <f>ROW()</f>
        <v>323</v>
      </c>
      <c r="O323" s="71" t="str">
        <f>IF(ISNUMBER(SEARCH(Invoice!$Q$14,C323)),N323,"")</f>
        <v/>
      </c>
      <c r="P323" s="74" t="str">
        <f>IFERROR(SMALL(O323:O790,ROWS($O$2:O323)),"")</f>
        <v/>
      </c>
    </row>
    <row r="324" spans="1:18" x14ac:dyDescent="0.3">
      <c r="A324" s="44"/>
      <c r="B324" s="45"/>
      <c r="C324" s="45"/>
      <c r="D324" s="45"/>
      <c r="E324" s="45"/>
      <c r="F324" s="45"/>
      <c r="G324" s="45"/>
      <c r="H324" s="64"/>
      <c r="I324" s="64"/>
      <c r="J324" s="64"/>
      <c r="K324" s="64"/>
      <c r="L324" s="45"/>
      <c r="M324" s="43"/>
      <c r="N324" s="71">
        <f>ROW()</f>
        <v>324</v>
      </c>
      <c r="O324" s="71" t="str">
        <f>IF(ISNUMBER(SEARCH(Invoice!$Q$14,C324)),N324,"")</f>
        <v/>
      </c>
      <c r="P324" s="74" t="str">
        <f>IFERROR(SMALL(O324:O791,ROWS($O$2:O324)),"")</f>
        <v/>
      </c>
      <c r="Q324" s="43"/>
      <c r="R324" s="43"/>
    </row>
    <row r="325" spans="1:18" x14ac:dyDescent="0.3">
      <c r="A325" s="39"/>
      <c r="B325" s="40"/>
      <c r="C325" s="40"/>
      <c r="D325" s="40"/>
      <c r="E325" s="40"/>
      <c r="F325" s="40"/>
      <c r="G325" s="40"/>
      <c r="H325" s="63"/>
      <c r="I325" s="63"/>
      <c r="J325" s="63"/>
      <c r="K325" s="63"/>
      <c r="L325" s="40"/>
      <c r="N325" s="71">
        <f>ROW()</f>
        <v>325</v>
      </c>
      <c r="O325" s="71" t="str">
        <f>IF(ISNUMBER(SEARCH(Invoice!$Q$14,C325)),N325,"")</f>
        <v/>
      </c>
      <c r="P325" s="74" t="str">
        <f>IFERROR(SMALL(O325:O792,ROWS($O$2:O325)),"")</f>
        <v/>
      </c>
    </row>
    <row r="326" spans="1:18" x14ac:dyDescent="0.3">
      <c r="A326" s="44"/>
      <c r="B326" s="45"/>
      <c r="C326" s="45"/>
      <c r="D326" s="45"/>
      <c r="E326" s="45"/>
      <c r="F326" s="45"/>
      <c r="G326" s="45"/>
      <c r="H326" s="64"/>
      <c r="I326" s="64"/>
      <c r="J326" s="64"/>
      <c r="K326" s="64"/>
      <c r="L326" s="45"/>
      <c r="M326" s="43"/>
      <c r="N326" s="71">
        <f>ROW()</f>
        <v>326</v>
      </c>
      <c r="O326" s="71" t="str">
        <f>IF(ISNUMBER(SEARCH(Invoice!$Q$14,C326)),N326,"")</f>
        <v/>
      </c>
      <c r="P326" s="74" t="str">
        <f>IFERROR(SMALL(O326:O793,ROWS($O$2:O326)),"")</f>
        <v/>
      </c>
      <c r="Q326" s="43"/>
      <c r="R326" s="43"/>
    </row>
    <row r="327" spans="1:18" x14ac:dyDescent="0.3">
      <c r="A327" s="39"/>
      <c r="B327" s="40"/>
      <c r="C327" s="40"/>
      <c r="D327" s="40"/>
      <c r="E327" s="40"/>
      <c r="F327" s="40"/>
      <c r="G327" s="40"/>
      <c r="H327" s="63"/>
      <c r="I327" s="63"/>
      <c r="J327" s="63"/>
      <c r="K327" s="63"/>
      <c r="L327" s="40"/>
      <c r="N327" s="71">
        <f>ROW()</f>
        <v>327</v>
      </c>
      <c r="O327" s="71" t="str">
        <f>IF(ISNUMBER(SEARCH(Invoice!$Q$14,C327)),N327,"")</f>
        <v/>
      </c>
      <c r="P327" s="74" t="str">
        <f>IFERROR(SMALL(O327:O794,ROWS($O$2:O327)),"")</f>
        <v/>
      </c>
    </row>
    <row r="328" spans="1:18" x14ac:dyDescent="0.3">
      <c r="A328" s="44"/>
      <c r="B328" s="45"/>
      <c r="C328" s="45"/>
      <c r="D328" s="45"/>
      <c r="E328" s="45"/>
      <c r="F328" s="45"/>
      <c r="G328" s="45"/>
      <c r="H328" s="64"/>
      <c r="I328" s="64"/>
      <c r="J328" s="64"/>
      <c r="K328" s="64"/>
      <c r="L328" s="45"/>
      <c r="M328" s="43"/>
      <c r="N328" s="71">
        <f>ROW()</f>
        <v>328</v>
      </c>
      <c r="O328" s="71" t="str">
        <f>IF(ISNUMBER(SEARCH(Invoice!$Q$14,C328)),N328,"")</f>
        <v/>
      </c>
      <c r="P328" s="74" t="str">
        <f>IFERROR(SMALL(O328:O795,ROWS($O$2:O328)),"")</f>
        <v/>
      </c>
      <c r="Q328" s="43"/>
      <c r="R328" s="43"/>
    </row>
    <row r="329" spans="1:18" x14ac:dyDescent="0.3">
      <c r="A329" s="39"/>
      <c r="B329" s="40"/>
      <c r="C329" s="40"/>
      <c r="D329" s="40"/>
      <c r="E329" s="40"/>
      <c r="F329" s="40"/>
      <c r="G329" s="40"/>
      <c r="H329" s="63"/>
      <c r="I329" s="63"/>
      <c r="J329" s="63"/>
      <c r="K329" s="63"/>
      <c r="L329" s="40"/>
      <c r="N329" s="71">
        <f>ROW()</f>
        <v>329</v>
      </c>
      <c r="O329" s="71" t="str">
        <f>IF(ISNUMBER(SEARCH(Invoice!$Q$14,C329)),N329,"")</f>
        <v/>
      </c>
      <c r="P329" s="74" t="str">
        <f>IFERROR(SMALL(O329:O796,ROWS($O$2:O329)),"")</f>
        <v/>
      </c>
    </row>
    <row r="330" spans="1:18" x14ac:dyDescent="0.3">
      <c r="A330" s="44"/>
      <c r="B330" s="45"/>
      <c r="C330" s="45"/>
      <c r="D330" s="45"/>
      <c r="E330" s="45"/>
      <c r="F330" s="45"/>
      <c r="G330" s="45"/>
      <c r="H330" s="64"/>
      <c r="I330" s="64"/>
      <c r="J330" s="64"/>
      <c r="K330" s="64"/>
      <c r="L330" s="45"/>
      <c r="M330" s="43"/>
      <c r="N330" s="71">
        <f>ROW()</f>
        <v>330</v>
      </c>
      <c r="O330" s="71" t="str">
        <f>IF(ISNUMBER(SEARCH(Invoice!$Q$14,C330)),N330,"")</f>
        <v/>
      </c>
      <c r="P330" s="74" t="str">
        <f>IFERROR(SMALL(O330:O797,ROWS($O$2:O330)),"")</f>
        <v/>
      </c>
      <c r="Q330" s="43"/>
      <c r="R330" s="43"/>
    </row>
    <row r="331" spans="1:18" x14ac:dyDescent="0.3">
      <c r="A331" s="39"/>
      <c r="B331" s="40"/>
      <c r="C331" s="40"/>
      <c r="D331" s="40"/>
      <c r="E331" s="40"/>
      <c r="F331" s="40"/>
      <c r="G331" s="40"/>
      <c r="H331" s="63"/>
      <c r="I331" s="63"/>
      <c r="J331" s="63"/>
      <c r="K331" s="63"/>
      <c r="L331" s="40"/>
      <c r="N331" s="71">
        <f>ROW()</f>
        <v>331</v>
      </c>
      <c r="O331" s="71" t="str">
        <f>IF(ISNUMBER(SEARCH(Invoice!$Q$14,C331)),N331,"")</f>
        <v/>
      </c>
      <c r="P331" s="74" t="str">
        <f>IFERROR(SMALL(O331:O798,ROWS($O$2:O331)),"")</f>
        <v/>
      </c>
    </row>
    <row r="332" spans="1:18" x14ac:dyDescent="0.3">
      <c r="A332" s="44"/>
      <c r="B332" s="45"/>
      <c r="C332" s="45"/>
      <c r="D332" s="45"/>
      <c r="E332" s="45"/>
      <c r="F332" s="45"/>
      <c r="G332" s="45"/>
      <c r="H332" s="64"/>
      <c r="I332" s="64"/>
      <c r="J332" s="64"/>
      <c r="K332" s="64"/>
      <c r="L332" s="45"/>
      <c r="M332" s="43"/>
      <c r="N332" s="71">
        <f>ROW()</f>
        <v>332</v>
      </c>
      <c r="O332" s="71" t="str">
        <f>IF(ISNUMBER(SEARCH(Invoice!$Q$14,C332)),N332,"")</f>
        <v/>
      </c>
      <c r="P332" s="74" t="str">
        <f>IFERROR(SMALL(O332:O799,ROWS($O$2:O332)),"")</f>
        <v/>
      </c>
      <c r="Q332" s="43"/>
      <c r="R332" s="43"/>
    </row>
    <row r="333" spans="1:18" x14ac:dyDescent="0.3">
      <c r="A333" s="39"/>
      <c r="B333" s="40"/>
      <c r="C333" s="40"/>
      <c r="D333" s="40"/>
      <c r="E333" s="40"/>
      <c r="F333" s="40"/>
      <c r="G333" s="40"/>
      <c r="H333" s="63"/>
      <c r="I333" s="63"/>
      <c r="J333" s="63"/>
      <c r="K333" s="63"/>
      <c r="L333" s="40"/>
      <c r="N333" s="71">
        <f>ROW()</f>
        <v>333</v>
      </c>
      <c r="O333" s="71" t="str">
        <f>IF(ISNUMBER(SEARCH(Invoice!$Q$14,C333)),N333,"")</f>
        <v/>
      </c>
      <c r="P333" s="74" t="str">
        <f>IFERROR(SMALL(O333:O800,ROWS($O$2:O333)),"")</f>
        <v/>
      </c>
    </row>
    <row r="334" spans="1:18" x14ac:dyDescent="0.3">
      <c r="A334" s="44"/>
      <c r="B334" s="45"/>
      <c r="C334" s="45"/>
      <c r="D334" s="45"/>
      <c r="E334" s="45"/>
      <c r="F334" s="45"/>
      <c r="G334" s="45"/>
      <c r="H334" s="64"/>
      <c r="I334" s="64"/>
      <c r="J334" s="64"/>
      <c r="K334" s="64"/>
      <c r="L334" s="45"/>
      <c r="M334" s="43"/>
      <c r="N334" s="71">
        <f>ROW()</f>
        <v>334</v>
      </c>
      <c r="O334" s="71" t="str">
        <f>IF(ISNUMBER(SEARCH(Invoice!$Q$14,C334)),N334,"")</f>
        <v/>
      </c>
      <c r="P334" s="74" t="str">
        <f>IFERROR(SMALL(O334:O801,ROWS($O$2:O334)),"")</f>
        <v/>
      </c>
      <c r="Q334" s="43"/>
      <c r="R334" s="43"/>
    </row>
    <row r="335" spans="1:18" x14ac:dyDescent="0.3">
      <c r="A335" s="39"/>
      <c r="B335" s="40"/>
      <c r="C335" s="40"/>
      <c r="D335" s="40"/>
      <c r="E335" s="40"/>
      <c r="F335" s="40"/>
      <c r="G335" s="40"/>
      <c r="H335" s="63"/>
      <c r="I335" s="63"/>
      <c r="J335" s="63"/>
      <c r="K335" s="63"/>
      <c r="L335" s="40"/>
      <c r="N335" s="71">
        <f>ROW()</f>
        <v>335</v>
      </c>
      <c r="O335" s="71" t="str">
        <f>IF(ISNUMBER(SEARCH(Invoice!$Q$14,C335)),N335,"")</f>
        <v/>
      </c>
      <c r="P335" s="74" t="str">
        <f>IFERROR(SMALL(O335:O802,ROWS($O$2:O335)),"")</f>
        <v/>
      </c>
    </row>
    <row r="336" spans="1:18" x14ac:dyDescent="0.3">
      <c r="A336" s="44"/>
      <c r="B336" s="45"/>
      <c r="C336" s="45"/>
      <c r="D336" s="45"/>
      <c r="E336" s="45"/>
      <c r="F336" s="45"/>
      <c r="G336" s="45"/>
      <c r="H336" s="64"/>
      <c r="I336" s="64"/>
      <c r="J336" s="64"/>
      <c r="K336" s="64"/>
      <c r="L336" s="45"/>
      <c r="M336" s="43"/>
      <c r="N336" s="71">
        <f>ROW()</f>
        <v>336</v>
      </c>
      <c r="O336" s="71" t="str">
        <f>IF(ISNUMBER(SEARCH(Invoice!$Q$14,C336)),N336,"")</f>
        <v/>
      </c>
      <c r="P336" s="74" t="str">
        <f>IFERROR(SMALL(O336:O803,ROWS($O$2:O336)),"")</f>
        <v/>
      </c>
      <c r="Q336" s="43"/>
      <c r="R336" s="43"/>
    </row>
    <row r="337" spans="1:18" x14ac:dyDescent="0.3">
      <c r="A337" s="39"/>
      <c r="B337" s="40"/>
      <c r="C337" s="40"/>
      <c r="D337" s="40"/>
      <c r="E337" s="40"/>
      <c r="F337" s="40"/>
      <c r="G337" s="40"/>
      <c r="H337" s="63"/>
      <c r="I337" s="63"/>
      <c r="J337" s="63"/>
      <c r="K337" s="63"/>
      <c r="L337" s="40"/>
      <c r="N337" s="71">
        <f>ROW()</f>
        <v>337</v>
      </c>
      <c r="O337" s="71" t="str">
        <f>IF(ISNUMBER(SEARCH(Invoice!$Q$14,C337)),N337,"")</f>
        <v/>
      </c>
      <c r="P337" s="74" t="str">
        <f>IFERROR(SMALL(O337:O804,ROWS($O$2:O337)),"")</f>
        <v/>
      </c>
    </row>
    <row r="338" spans="1:18" x14ac:dyDescent="0.3">
      <c r="A338" s="44"/>
      <c r="B338" s="45"/>
      <c r="C338" s="45"/>
      <c r="D338" s="45"/>
      <c r="E338" s="45"/>
      <c r="F338" s="45"/>
      <c r="G338" s="45"/>
      <c r="H338" s="64"/>
      <c r="I338" s="64"/>
      <c r="J338" s="64"/>
      <c r="K338" s="64"/>
      <c r="L338" s="45"/>
      <c r="M338" s="43"/>
      <c r="N338" s="71">
        <f>ROW()</f>
        <v>338</v>
      </c>
      <c r="O338" s="71" t="str">
        <f>IF(ISNUMBER(SEARCH(Invoice!$Q$14,C338)),N338,"")</f>
        <v/>
      </c>
      <c r="P338" s="74" t="str">
        <f>IFERROR(SMALL(O338:O805,ROWS($O$2:O338)),"")</f>
        <v/>
      </c>
      <c r="Q338" s="43"/>
      <c r="R338" s="43"/>
    </row>
    <row r="339" spans="1:18" x14ac:dyDescent="0.3">
      <c r="A339" s="39"/>
      <c r="B339" s="40"/>
      <c r="C339" s="40"/>
      <c r="D339" s="40"/>
      <c r="E339" s="40"/>
      <c r="F339" s="40"/>
      <c r="G339" s="40"/>
      <c r="H339" s="63"/>
      <c r="I339" s="63"/>
      <c r="J339" s="63"/>
      <c r="K339" s="63"/>
      <c r="L339" s="40"/>
      <c r="N339" s="71">
        <f>ROW()</f>
        <v>339</v>
      </c>
      <c r="O339" s="71" t="str">
        <f>IF(ISNUMBER(SEARCH(Invoice!$Q$14,C339)),N339,"")</f>
        <v/>
      </c>
      <c r="P339" s="74" t="str">
        <f>IFERROR(SMALL(O339:O806,ROWS($O$2:O339)),"")</f>
        <v/>
      </c>
    </row>
    <row r="340" spans="1:18" x14ac:dyDescent="0.3">
      <c r="A340" s="44"/>
      <c r="B340" s="45"/>
      <c r="C340" s="45"/>
      <c r="D340" s="45"/>
      <c r="E340" s="45"/>
      <c r="F340" s="45"/>
      <c r="G340" s="45"/>
      <c r="H340" s="64"/>
      <c r="I340" s="64"/>
      <c r="J340" s="64"/>
      <c r="K340" s="64"/>
      <c r="L340" s="45"/>
      <c r="M340" s="43"/>
      <c r="N340" s="71">
        <f>ROW()</f>
        <v>340</v>
      </c>
      <c r="O340" s="71" t="str">
        <f>IF(ISNUMBER(SEARCH(Invoice!$Q$14,C340)),N340,"")</f>
        <v/>
      </c>
      <c r="P340" s="74" t="str">
        <f>IFERROR(SMALL(O340:O807,ROWS($O$2:O340)),"")</f>
        <v/>
      </c>
      <c r="Q340" s="43"/>
      <c r="R340" s="43"/>
    </row>
    <row r="341" spans="1:18" x14ac:dyDescent="0.3">
      <c r="A341" s="39"/>
      <c r="B341" s="40"/>
      <c r="C341" s="40"/>
      <c r="D341" s="40"/>
      <c r="E341" s="40"/>
      <c r="F341" s="40"/>
      <c r="G341" s="40"/>
      <c r="H341" s="63"/>
      <c r="I341" s="63"/>
      <c r="J341" s="63"/>
      <c r="K341" s="63"/>
      <c r="L341" s="40"/>
      <c r="N341" s="71">
        <f>ROW()</f>
        <v>341</v>
      </c>
      <c r="O341" s="71" t="str">
        <f>IF(ISNUMBER(SEARCH(Invoice!$Q$14,C341)),N341,"")</f>
        <v/>
      </c>
      <c r="P341" s="74" t="str">
        <f>IFERROR(SMALL(O341:O808,ROWS($O$2:O341)),"")</f>
        <v/>
      </c>
    </row>
    <row r="342" spans="1:18" x14ac:dyDescent="0.3">
      <c r="A342" s="44"/>
      <c r="B342" s="45"/>
      <c r="C342" s="45"/>
      <c r="D342" s="45"/>
      <c r="E342" s="45"/>
      <c r="F342" s="45"/>
      <c r="G342" s="45"/>
      <c r="H342" s="64"/>
      <c r="I342" s="64"/>
      <c r="J342" s="64"/>
      <c r="K342" s="64"/>
      <c r="L342" s="45"/>
      <c r="M342" s="43"/>
      <c r="N342" s="71">
        <f>ROW()</f>
        <v>342</v>
      </c>
      <c r="O342" s="71" t="str">
        <f>IF(ISNUMBER(SEARCH(Invoice!$Q$14,C342)),N342,"")</f>
        <v/>
      </c>
      <c r="P342" s="74" t="str">
        <f>IFERROR(SMALL(O342:O809,ROWS($O$2:O342)),"")</f>
        <v/>
      </c>
      <c r="Q342" s="43"/>
      <c r="R342" s="43"/>
    </row>
    <row r="343" spans="1:18" x14ac:dyDescent="0.3">
      <c r="A343" s="39"/>
      <c r="B343" s="40"/>
      <c r="C343" s="40"/>
      <c r="D343" s="40"/>
      <c r="E343" s="40"/>
      <c r="F343" s="40"/>
      <c r="G343" s="40"/>
      <c r="H343" s="63"/>
      <c r="I343" s="63"/>
      <c r="J343" s="63"/>
      <c r="K343" s="63"/>
      <c r="L343" s="40"/>
      <c r="N343" s="71">
        <f>ROW()</f>
        <v>343</v>
      </c>
      <c r="O343" s="71" t="str">
        <f>IF(ISNUMBER(SEARCH(Invoice!$Q$14,C343)),N343,"")</f>
        <v/>
      </c>
      <c r="P343" s="74" t="str">
        <f>IFERROR(SMALL(O343:O810,ROWS($O$2:O343)),"")</f>
        <v/>
      </c>
    </row>
    <row r="344" spans="1:18" x14ac:dyDescent="0.3">
      <c r="A344" s="44"/>
      <c r="B344" s="45"/>
      <c r="C344" s="45"/>
      <c r="D344" s="45"/>
      <c r="E344" s="45"/>
      <c r="F344" s="45"/>
      <c r="G344" s="45"/>
      <c r="H344" s="64"/>
      <c r="I344" s="64"/>
      <c r="J344" s="64"/>
      <c r="K344" s="64"/>
      <c r="L344" s="45"/>
      <c r="M344" s="43"/>
      <c r="N344" s="71">
        <f>ROW()</f>
        <v>344</v>
      </c>
      <c r="O344" s="71" t="str">
        <f>IF(ISNUMBER(SEARCH(Invoice!$Q$14,C344)),N344,"")</f>
        <v/>
      </c>
      <c r="P344" s="74" t="str">
        <f>IFERROR(SMALL(O344:O811,ROWS($O$2:O344)),"")</f>
        <v/>
      </c>
      <c r="Q344" s="43"/>
      <c r="R344" s="43"/>
    </row>
    <row r="345" spans="1:18" x14ac:dyDescent="0.3">
      <c r="A345" s="39"/>
      <c r="B345" s="40"/>
      <c r="C345" s="40"/>
      <c r="D345" s="40"/>
      <c r="E345" s="40"/>
      <c r="F345" s="40"/>
      <c r="G345" s="40"/>
      <c r="H345" s="63"/>
      <c r="I345" s="63"/>
      <c r="J345" s="63"/>
      <c r="K345" s="63"/>
      <c r="L345" s="40"/>
      <c r="N345" s="71">
        <f>ROW()</f>
        <v>345</v>
      </c>
      <c r="O345" s="71" t="str">
        <f>IF(ISNUMBER(SEARCH(Invoice!$Q$14,C345)),N345,"")</f>
        <v/>
      </c>
      <c r="P345" s="74" t="str">
        <f>IFERROR(SMALL(O345:O812,ROWS($O$2:O345)),"")</f>
        <v/>
      </c>
    </row>
    <row r="346" spans="1:18" x14ac:dyDescent="0.3">
      <c r="A346" s="44"/>
      <c r="B346" s="45"/>
      <c r="C346" s="45"/>
      <c r="D346" s="45"/>
      <c r="E346" s="45"/>
      <c r="F346" s="45"/>
      <c r="G346" s="45"/>
      <c r="H346" s="64"/>
      <c r="I346" s="64"/>
      <c r="J346" s="64"/>
      <c r="K346" s="64"/>
      <c r="L346" s="45"/>
      <c r="M346" s="43"/>
      <c r="N346" s="71">
        <f>ROW()</f>
        <v>346</v>
      </c>
      <c r="O346" s="71" t="str">
        <f>IF(ISNUMBER(SEARCH(Invoice!$Q$14,C346)),N346,"")</f>
        <v/>
      </c>
      <c r="P346" s="74" t="str">
        <f>IFERROR(SMALL(O346:O813,ROWS($O$2:O346)),"")</f>
        <v/>
      </c>
      <c r="Q346" s="43"/>
      <c r="R346" s="43"/>
    </row>
    <row r="347" spans="1:18" x14ac:dyDescent="0.3">
      <c r="A347" s="39"/>
      <c r="B347" s="40"/>
      <c r="C347" s="40"/>
      <c r="D347" s="40"/>
      <c r="E347" s="40"/>
      <c r="F347" s="40"/>
      <c r="G347" s="40"/>
      <c r="H347" s="63"/>
      <c r="I347" s="63"/>
      <c r="J347" s="63"/>
      <c r="K347" s="63"/>
      <c r="L347" s="40"/>
      <c r="N347" s="71">
        <f>ROW()</f>
        <v>347</v>
      </c>
      <c r="O347" s="71" t="str">
        <f>IF(ISNUMBER(SEARCH(Invoice!$Q$14,C347)),N347,"")</f>
        <v/>
      </c>
      <c r="P347" s="74" t="str">
        <f>IFERROR(SMALL(O347:O814,ROWS($O$2:O347)),"")</f>
        <v/>
      </c>
    </row>
    <row r="348" spans="1:18" x14ac:dyDescent="0.3">
      <c r="A348" s="44"/>
      <c r="B348" s="45"/>
      <c r="C348" s="45"/>
      <c r="D348" s="45"/>
      <c r="E348" s="45"/>
      <c r="F348" s="45"/>
      <c r="G348" s="45"/>
      <c r="H348" s="64"/>
      <c r="I348" s="64"/>
      <c r="J348" s="64"/>
      <c r="K348" s="64"/>
      <c r="L348" s="45"/>
      <c r="M348" s="43"/>
      <c r="N348" s="71">
        <f>ROW()</f>
        <v>348</v>
      </c>
      <c r="O348" s="71" t="str">
        <f>IF(ISNUMBER(SEARCH(Invoice!$Q$14,C348)),N348,"")</f>
        <v/>
      </c>
      <c r="P348" s="74" t="str">
        <f>IFERROR(SMALL(O348:O815,ROWS($O$2:O348)),"")</f>
        <v/>
      </c>
      <c r="Q348" s="43"/>
      <c r="R348" s="43"/>
    </row>
    <row r="349" spans="1:18" x14ac:dyDescent="0.3">
      <c r="A349" s="39"/>
      <c r="B349" s="40"/>
      <c r="C349" s="40"/>
      <c r="D349" s="40"/>
      <c r="E349" s="40"/>
      <c r="F349" s="40"/>
      <c r="G349" s="40"/>
      <c r="H349" s="63"/>
      <c r="I349" s="63"/>
      <c r="J349" s="63"/>
      <c r="K349" s="63"/>
      <c r="L349" s="40"/>
      <c r="N349" s="71">
        <f>ROW()</f>
        <v>349</v>
      </c>
      <c r="O349" s="71" t="str">
        <f>IF(ISNUMBER(SEARCH(Invoice!$Q$14,C349)),N349,"")</f>
        <v/>
      </c>
      <c r="P349" s="74" t="str">
        <f>IFERROR(SMALL(O349:O816,ROWS($O$2:O349)),"")</f>
        <v/>
      </c>
    </row>
    <row r="350" spans="1:18" x14ac:dyDescent="0.3">
      <c r="A350" s="44"/>
      <c r="B350" s="45"/>
      <c r="C350" s="45"/>
      <c r="D350" s="45"/>
      <c r="E350" s="45"/>
      <c r="F350" s="45"/>
      <c r="G350" s="45"/>
      <c r="H350" s="64"/>
      <c r="I350" s="64"/>
      <c r="J350" s="64"/>
      <c r="K350" s="64"/>
      <c r="L350" s="45"/>
      <c r="M350" s="43"/>
      <c r="N350" s="71">
        <f>ROW()</f>
        <v>350</v>
      </c>
      <c r="O350" s="71" t="str">
        <f>IF(ISNUMBER(SEARCH(Invoice!$Q$14,C350)),N350,"")</f>
        <v/>
      </c>
      <c r="P350" s="74" t="str">
        <f>IFERROR(SMALL(O350:O817,ROWS($O$2:O350)),"")</f>
        <v/>
      </c>
      <c r="Q350" s="43"/>
      <c r="R350" s="43"/>
    </row>
    <row r="351" spans="1:18" x14ac:dyDescent="0.3">
      <c r="A351" s="39"/>
      <c r="B351" s="40"/>
      <c r="C351" s="40"/>
      <c r="D351" s="40"/>
      <c r="E351" s="40"/>
      <c r="F351" s="40"/>
      <c r="G351" s="40"/>
      <c r="H351" s="63"/>
      <c r="I351" s="63"/>
      <c r="J351" s="63"/>
      <c r="K351" s="63"/>
      <c r="L351" s="40"/>
      <c r="N351" s="71">
        <f>ROW()</f>
        <v>351</v>
      </c>
      <c r="O351" s="71" t="str">
        <f>IF(ISNUMBER(SEARCH(Invoice!$Q$14,C351)),N351,"")</f>
        <v/>
      </c>
      <c r="P351" s="74" t="str">
        <f>IFERROR(SMALL(O351:O818,ROWS($O$2:O351)),"")</f>
        <v/>
      </c>
    </row>
    <row r="352" spans="1:18" x14ac:dyDescent="0.3">
      <c r="A352" s="44"/>
      <c r="B352" s="45"/>
      <c r="C352" s="45"/>
      <c r="D352" s="45"/>
      <c r="E352" s="45"/>
      <c r="F352" s="45"/>
      <c r="G352" s="45"/>
      <c r="H352" s="64"/>
      <c r="I352" s="64"/>
      <c r="J352" s="64"/>
      <c r="K352" s="64"/>
      <c r="L352" s="45"/>
      <c r="M352" s="43"/>
      <c r="N352" s="71">
        <f>ROW()</f>
        <v>352</v>
      </c>
      <c r="O352" s="71" t="str">
        <f>IF(ISNUMBER(SEARCH(Invoice!$Q$14,C352)),N352,"")</f>
        <v/>
      </c>
      <c r="P352" s="74" t="str">
        <f>IFERROR(SMALL(O352:O819,ROWS($O$2:O352)),"")</f>
        <v/>
      </c>
      <c r="Q352" s="43"/>
      <c r="R352" s="43"/>
    </row>
    <row r="353" spans="1:18" x14ac:dyDescent="0.3">
      <c r="A353" s="39"/>
      <c r="B353" s="40"/>
      <c r="C353" s="40"/>
      <c r="D353" s="40"/>
      <c r="E353" s="40"/>
      <c r="F353" s="40"/>
      <c r="G353" s="40"/>
      <c r="H353" s="63"/>
      <c r="I353" s="63"/>
      <c r="J353" s="63"/>
      <c r="K353" s="63"/>
      <c r="L353" s="40"/>
      <c r="N353" s="71">
        <f>ROW()</f>
        <v>353</v>
      </c>
      <c r="O353" s="71" t="str">
        <f>IF(ISNUMBER(SEARCH(Invoice!$Q$14,C353)),N353,"")</f>
        <v/>
      </c>
      <c r="P353" s="74" t="str">
        <f>IFERROR(SMALL(O353:O820,ROWS($O$2:O353)),"")</f>
        <v/>
      </c>
    </row>
    <row r="354" spans="1:18" x14ac:dyDescent="0.3">
      <c r="A354" s="44"/>
      <c r="B354" s="45"/>
      <c r="C354" s="45"/>
      <c r="D354" s="45"/>
      <c r="E354" s="45"/>
      <c r="F354" s="45"/>
      <c r="G354" s="45"/>
      <c r="H354" s="64"/>
      <c r="I354" s="64"/>
      <c r="J354" s="64"/>
      <c r="K354" s="64"/>
      <c r="L354" s="45"/>
      <c r="M354" s="43"/>
      <c r="N354" s="71">
        <f>ROW()</f>
        <v>354</v>
      </c>
      <c r="O354" s="71" t="str">
        <f>IF(ISNUMBER(SEARCH(Invoice!$Q$14,C354)),N354,"")</f>
        <v/>
      </c>
      <c r="P354" s="74" t="str">
        <f>IFERROR(SMALL(O354:O821,ROWS($O$2:O354)),"")</f>
        <v/>
      </c>
      <c r="Q354" s="43"/>
      <c r="R354" s="43"/>
    </row>
    <row r="355" spans="1:18" x14ac:dyDescent="0.3">
      <c r="A355" s="39"/>
      <c r="B355" s="40"/>
      <c r="C355" s="40"/>
      <c r="D355" s="40"/>
      <c r="E355" s="40"/>
      <c r="F355" s="40"/>
      <c r="G355" s="40"/>
      <c r="H355" s="63"/>
      <c r="I355" s="63"/>
      <c r="J355" s="63"/>
      <c r="K355" s="63"/>
      <c r="L355" s="40"/>
      <c r="N355" s="71">
        <f>ROW()</f>
        <v>355</v>
      </c>
      <c r="O355" s="71" t="str">
        <f>IF(ISNUMBER(SEARCH(Invoice!$Q$14,C355)),N355,"")</f>
        <v/>
      </c>
      <c r="P355" s="74" t="str">
        <f>IFERROR(SMALL(O355:O822,ROWS($O$2:O355)),"")</f>
        <v/>
      </c>
    </row>
    <row r="356" spans="1:18" x14ac:dyDescent="0.3">
      <c r="A356" s="44"/>
      <c r="B356" s="45"/>
      <c r="C356" s="45"/>
      <c r="D356" s="45"/>
      <c r="E356" s="45"/>
      <c r="F356" s="45"/>
      <c r="G356" s="45"/>
      <c r="H356" s="64"/>
      <c r="I356" s="64"/>
      <c r="J356" s="64"/>
      <c r="K356" s="64"/>
      <c r="L356" s="45"/>
      <c r="M356" s="43"/>
      <c r="N356" s="71">
        <f>ROW()</f>
        <v>356</v>
      </c>
      <c r="O356" s="71" t="str">
        <f>IF(ISNUMBER(SEARCH(Invoice!$Q$14,C356)),N356,"")</f>
        <v/>
      </c>
      <c r="P356" s="74" t="str">
        <f>IFERROR(SMALL(O356:O823,ROWS($O$2:O356)),"")</f>
        <v/>
      </c>
      <c r="Q356" s="43"/>
      <c r="R356" s="43"/>
    </row>
    <row r="357" spans="1:18" x14ac:dyDescent="0.3">
      <c r="A357" s="39"/>
      <c r="B357" s="40"/>
      <c r="C357" s="40"/>
      <c r="D357" s="40"/>
      <c r="E357" s="40"/>
      <c r="F357" s="40"/>
      <c r="G357" s="40"/>
      <c r="H357" s="63"/>
      <c r="I357" s="63"/>
      <c r="J357" s="63"/>
      <c r="K357" s="63"/>
      <c r="L357" s="40"/>
      <c r="N357" s="71">
        <f>ROW()</f>
        <v>357</v>
      </c>
      <c r="O357" s="71" t="str">
        <f>IF(ISNUMBER(SEARCH(Invoice!$Q$14,C357)),N357,"")</f>
        <v/>
      </c>
      <c r="P357" s="74" t="str">
        <f>IFERROR(SMALL(O357:O824,ROWS($O$2:O357)),"")</f>
        <v/>
      </c>
    </row>
    <row r="358" spans="1:18" x14ac:dyDescent="0.3">
      <c r="A358" s="44"/>
      <c r="B358" s="45"/>
      <c r="C358" s="45"/>
      <c r="D358" s="45"/>
      <c r="E358" s="45"/>
      <c r="F358" s="45"/>
      <c r="G358" s="45"/>
      <c r="H358" s="64"/>
      <c r="I358" s="64"/>
      <c r="J358" s="64"/>
      <c r="K358" s="64"/>
      <c r="L358" s="45"/>
      <c r="M358" s="43"/>
      <c r="N358" s="71">
        <f>ROW()</f>
        <v>358</v>
      </c>
      <c r="O358" s="71" t="str">
        <f>IF(ISNUMBER(SEARCH(Invoice!$Q$14,C358)),N358,"")</f>
        <v/>
      </c>
      <c r="P358" s="74" t="str">
        <f>IFERROR(SMALL(O358:O825,ROWS($O$2:O358)),"")</f>
        <v/>
      </c>
      <c r="Q358" s="43"/>
      <c r="R358" s="43"/>
    </row>
    <row r="359" spans="1:18" x14ac:dyDescent="0.3">
      <c r="A359" s="39"/>
      <c r="B359" s="40"/>
      <c r="C359" s="40"/>
      <c r="D359" s="40"/>
      <c r="E359" s="40"/>
      <c r="F359" s="40"/>
      <c r="G359" s="40"/>
      <c r="H359" s="63"/>
      <c r="I359" s="63"/>
      <c r="J359" s="63"/>
      <c r="K359" s="63"/>
      <c r="L359" s="40"/>
      <c r="N359" s="71">
        <f>ROW()</f>
        <v>359</v>
      </c>
      <c r="O359" s="71" t="str">
        <f>IF(ISNUMBER(SEARCH(Invoice!$Q$14,C359)),N359,"")</f>
        <v/>
      </c>
      <c r="P359" s="74" t="str">
        <f>IFERROR(SMALL(O359:O826,ROWS($O$2:O359)),"")</f>
        <v/>
      </c>
    </row>
    <row r="360" spans="1:18" x14ac:dyDescent="0.3">
      <c r="A360" s="44"/>
      <c r="B360" s="45"/>
      <c r="C360" s="45"/>
      <c r="D360" s="45"/>
      <c r="E360" s="45"/>
      <c r="F360" s="45"/>
      <c r="G360" s="45"/>
      <c r="H360" s="64"/>
      <c r="I360" s="64"/>
      <c r="J360" s="64"/>
      <c r="K360" s="64"/>
      <c r="L360" s="45"/>
      <c r="M360" s="43"/>
      <c r="N360" s="71">
        <f>ROW()</f>
        <v>360</v>
      </c>
      <c r="O360" s="71" t="str">
        <f>IF(ISNUMBER(SEARCH(Invoice!$Q$14,C360)),N360,"")</f>
        <v/>
      </c>
      <c r="P360" s="74" t="str">
        <f>IFERROR(SMALL(O360:O827,ROWS($O$2:O360)),"")</f>
        <v/>
      </c>
      <c r="Q360" s="43"/>
      <c r="R360" s="43"/>
    </row>
    <row r="361" spans="1:18" x14ac:dyDescent="0.3">
      <c r="A361" s="39"/>
      <c r="B361" s="40"/>
      <c r="C361" s="40"/>
      <c r="D361" s="40"/>
      <c r="E361" s="40"/>
      <c r="F361" s="40"/>
      <c r="G361" s="40"/>
      <c r="H361" s="63"/>
      <c r="I361" s="63"/>
      <c r="J361" s="63"/>
      <c r="K361" s="63"/>
      <c r="L361" s="40"/>
      <c r="N361" s="71">
        <f>ROW()</f>
        <v>361</v>
      </c>
      <c r="O361" s="71" t="str">
        <f>IF(ISNUMBER(SEARCH(Invoice!$Q$14,C361)),N361,"")</f>
        <v/>
      </c>
      <c r="P361" s="74" t="str">
        <f>IFERROR(SMALL(O361:O828,ROWS($O$2:O361)),"")</f>
        <v/>
      </c>
    </row>
    <row r="362" spans="1:18" x14ac:dyDescent="0.3">
      <c r="A362" s="44"/>
      <c r="B362" s="45"/>
      <c r="C362" s="45"/>
      <c r="D362" s="45"/>
      <c r="E362" s="45"/>
      <c r="F362" s="45"/>
      <c r="G362" s="45"/>
      <c r="H362" s="64"/>
      <c r="I362" s="64"/>
      <c r="J362" s="64"/>
      <c r="K362" s="64"/>
      <c r="L362" s="45"/>
      <c r="M362" s="43"/>
      <c r="N362" s="71">
        <f>ROW()</f>
        <v>362</v>
      </c>
      <c r="O362" s="71" t="str">
        <f>IF(ISNUMBER(SEARCH(Invoice!$Q$14,C362)),N362,"")</f>
        <v/>
      </c>
      <c r="P362" s="74" t="str">
        <f>IFERROR(SMALL(O362:O829,ROWS($O$2:O362)),"")</f>
        <v/>
      </c>
      <c r="Q362" s="43"/>
      <c r="R362" s="43"/>
    </row>
    <row r="363" spans="1:18" x14ac:dyDescent="0.3">
      <c r="A363" s="39"/>
      <c r="B363" s="40"/>
      <c r="C363" s="40"/>
      <c r="D363" s="40"/>
      <c r="E363" s="40"/>
      <c r="F363" s="40"/>
      <c r="G363" s="40"/>
      <c r="H363" s="63"/>
      <c r="I363" s="63"/>
      <c r="J363" s="63"/>
      <c r="K363" s="63"/>
      <c r="L363" s="40"/>
      <c r="N363" s="71">
        <f>ROW()</f>
        <v>363</v>
      </c>
      <c r="O363" s="71" t="str">
        <f>IF(ISNUMBER(SEARCH(Invoice!$Q$14,C363)),N363,"")</f>
        <v/>
      </c>
      <c r="P363" s="74" t="str">
        <f>IFERROR(SMALL(O363:O830,ROWS($O$2:O363)),"")</f>
        <v/>
      </c>
    </row>
    <row r="364" spans="1:18" x14ac:dyDescent="0.3">
      <c r="A364" s="44"/>
      <c r="B364" s="45"/>
      <c r="C364" s="45"/>
      <c r="D364" s="45"/>
      <c r="E364" s="45"/>
      <c r="F364" s="45"/>
      <c r="G364" s="45"/>
      <c r="H364" s="64"/>
      <c r="I364" s="64"/>
      <c r="J364" s="64"/>
      <c r="K364" s="64"/>
      <c r="L364" s="45"/>
      <c r="M364" s="43"/>
      <c r="N364" s="71">
        <f>ROW()</f>
        <v>364</v>
      </c>
      <c r="O364" s="71" t="str">
        <f>IF(ISNUMBER(SEARCH(Invoice!$Q$14,C364)),N364,"")</f>
        <v/>
      </c>
      <c r="P364" s="74" t="str">
        <f>IFERROR(SMALL(O364:O831,ROWS($O$2:O364)),"")</f>
        <v/>
      </c>
      <c r="Q364" s="43"/>
      <c r="R364" s="43"/>
    </row>
    <row r="365" spans="1:18" x14ac:dyDescent="0.3">
      <c r="A365" s="39"/>
      <c r="B365" s="40"/>
      <c r="C365" s="40"/>
      <c r="D365" s="40"/>
      <c r="E365" s="40"/>
      <c r="F365" s="40"/>
      <c r="G365" s="40"/>
      <c r="H365" s="63"/>
      <c r="I365" s="63"/>
      <c r="J365" s="63"/>
      <c r="K365" s="63"/>
      <c r="L365" s="40"/>
      <c r="N365" s="71">
        <f>ROW()</f>
        <v>365</v>
      </c>
      <c r="O365" s="71" t="str">
        <f>IF(ISNUMBER(SEARCH(Invoice!$Q$14,C365)),N365,"")</f>
        <v/>
      </c>
      <c r="P365" s="74" t="str">
        <f>IFERROR(SMALL(O365:O832,ROWS($O$2:O365)),"")</f>
        <v/>
      </c>
    </row>
    <row r="366" spans="1:18" x14ac:dyDescent="0.3">
      <c r="A366" s="44"/>
      <c r="B366" s="45"/>
      <c r="C366" s="45"/>
      <c r="D366" s="45"/>
      <c r="E366" s="45"/>
      <c r="F366" s="45"/>
      <c r="G366" s="45"/>
      <c r="H366" s="64"/>
      <c r="I366" s="64"/>
      <c r="J366" s="64"/>
      <c r="K366" s="64"/>
      <c r="L366" s="45"/>
      <c r="M366" s="43"/>
      <c r="N366" s="71">
        <f>ROW()</f>
        <v>366</v>
      </c>
      <c r="O366" s="71" t="str">
        <f>IF(ISNUMBER(SEARCH(Invoice!$Q$14,C366)),N366,"")</f>
        <v/>
      </c>
      <c r="P366" s="74" t="str">
        <f>IFERROR(SMALL(O366:O833,ROWS($O$2:O366)),"")</f>
        <v/>
      </c>
      <c r="Q366" s="43"/>
      <c r="R366" s="43"/>
    </row>
    <row r="367" spans="1:18" x14ac:dyDescent="0.3">
      <c r="A367" s="39"/>
      <c r="B367" s="40"/>
      <c r="C367" s="40"/>
      <c r="D367" s="40"/>
      <c r="E367" s="40"/>
      <c r="F367" s="40"/>
      <c r="G367" s="40"/>
      <c r="H367" s="63"/>
      <c r="I367" s="63"/>
      <c r="J367" s="63"/>
      <c r="K367" s="63"/>
      <c r="L367" s="40"/>
      <c r="N367" s="71">
        <f>ROW()</f>
        <v>367</v>
      </c>
      <c r="O367" s="71" t="str">
        <f>IF(ISNUMBER(SEARCH(Invoice!$Q$14,C367)),N367,"")</f>
        <v/>
      </c>
      <c r="P367" s="74" t="str">
        <f>IFERROR(SMALL(O367:O834,ROWS($O$2:O367)),"")</f>
        <v/>
      </c>
    </row>
    <row r="368" spans="1:18" x14ac:dyDescent="0.3">
      <c r="A368" s="44"/>
      <c r="B368" s="45"/>
      <c r="C368" s="45"/>
      <c r="D368" s="45"/>
      <c r="E368" s="45"/>
      <c r="F368" s="45"/>
      <c r="G368" s="45"/>
      <c r="H368" s="64"/>
      <c r="I368" s="64"/>
      <c r="J368" s="64"/>
      <c r="K368" s="64"/>
      <c r="L368" s="45"/>
      <c r="M368" s="43"/>
      <c r="N368" s="71">
        <f>ROW()</f>
        <v>368</v>
      </c>
      <c r="O368" s="71" t="str">
        <f>IF(ISNUMBER(SEARCH(Invoice!$Q$14,C368)),N368,"")</f>
        <v/>
      </c>
      <c r="P368" s="74" t="str">
        <f>IFERROR(SMALL(O368:O835,ROWS($O$2:O368)),"")</f>
        <v/>
      </c>
      <c r="Q368" s="43"/>
      <c r="R368" s="43"/>
    </row>
    <row r="369" spans="1:18" x14ac:dyDescent="0.3">
      <c r="A369" s="39"/>
      <c r="B369" s="40"/>
      <c r="C369" s="40"/>
      <c r="D369" s="40"/>
      <c r="E369" s="40"/>
      <c r="F369" s="40"/>
      <c r="G369" s="40"/>
      <c r="H369" s="63"/>
      <c r="I369" s="63"/>
      <c r="J369" s="63"/>
      <c r="K369" s="63"/>
      <c r="L369" s="40"/>
      <c r="N369" s="71">
        <f>ROW()</f>
        <v>369</v>
      </c>
      <c r="O369" s="71" t="str">
        <f>IF(ISNUMBER(SEARCH(Invoice!$Q$14,C369)),N369,"")</f>
        <v/>
      </c>
      <c r="P369" s="74" t="str">
        <f>IFERROR(SMALL(O369:O836,ROWS($O$2:O369)),"")</f>
        <v/>
      </c>
    </row>
    <row r="370" spans="1:18" x14ac:dyDescent="0.3">
      <c r="A370" s="44"/>
      <c r="B370" s="45"/>
      <c r="C370" s="45"/>
      <c r="D370" s="45"/>
      <c r="E370" s="45"/>
      <c r="F370" s="45"/>
      <c r="G370" s="45"/>
      <c r="H370" s="64"/>
      <c r="I370" s="64"/>
      <c r="J370" s="64"/>
      <c r="K370" s="64"/>
      <c r="L370" s="45"/>
      <c r="M370" s="43"/>
      <c r="N370" s="71">
        <f>ROW()</f>
        <v>370</v>
      </c>
      <c r="O370" s="71" t="str">
        <f>IF(ISNUMBER(SEARCH(Invoice!$Q$14,C370)),N370,"")</f>
        <v/>
      </c>
      <c r="P370" s="74" t="str">
        <f>IFERROR(SMALL(O370:O837,ROWS($O$2:O370)),"")</f>
        <v/>
      </c>
      <c r="Q370" s="43"/>
      <c r="R370" s="43"/>
    </row>
    <row r="371" spans="1:18" x14ac:dyDescent="0.3">
      <c r="A371" s="39"/>
      <c r="B371" s="40"/>
      <c r="C371" s="40"/>
      <c r="D371" s="40"/>
      <c r="E371" s="40"/>
      <c r="F371" s="40"/>
      <c r="G371" s="40"/>
      <c r="H371" s="63"/>
      <c r="I371" s="63"/>
      <c r="J371" s="63"/>
      <c r="K371" s="63"/>
      <c r="L371" s="40"/>
      <c r="N371" s="71">
        <f>ROW()</f>
        <v>371</v>
      </c>
      <c r="O371" s="71" t="str">
        <f>IF(ISNUMBER(SEARCH(Invoice!$Q$14,C371)),N371,"")</f>
        <v/>
      </c>
      <c r="P371" s="74" t="str">
        <f>IFERROR(SMALL(O371:O838,ROWS($O$2:O371)),"")</f>
        <v/>
      </c>
    </row>
    <row r="372" spans="1:18" x14ac:dyDescent="0.3">
      <c r="A372" s="44"/>
      <c r="B372" s="45"/>
      <c r="C372" s="45"/>
      <c r="D372" s="45"/>
      <c r="E372" s="45"/>
      <c r="F372" s="45"/>
      <c r="G372" s="45"/>
      <c r="H372" s="64"/>
      <c r="I372" s="64"/>
      <c r="J372" s="64"/>
      <c r="K372" s="64"/>
      <c r="L372" s="45"/>
      <c r="M372" s="43"/>
      <c r="N372" s="71">
        <f>ROW()</f>
        <v>372</v>
      </c>
      <c r="O372" s="71" t="str">
        <f>IF(ISNUMBER(SEARCH(Invoice!$Q$14,C372)),N372,"")</f>
        <v/>
      </c>
      <c r="P372" s="74" t="str">
        <f>IFERROR(SMALL(O372:O839,ROWS($O$2:O372)),"")</f>
        <v/>
      </c>
      <c r="Q372" s="43"/>
      <c r="R372" s="43"/>
    </row>
    <row r="373" spans="1:18" x14ac:dyDescent="0.3">
      <c r="A373" s="39"/>
      <c r="B373" s="40"/>
      <c r="C373" s="40"/>
      <c r="D373" s="40"/>
      <c r="E373" s="40"/>
      <c r="F373" s="40"/>
      <c r="G373" s="40"/>
      <c r="H373" s="63"/>
      <c r="I373" s="63"/>
      <c r="J373" s="63"/>
      <c r="K373" s="63"/>
      <c r="L373" s="40"/>
      <c r="N373" s="71">
        <f>ROW()</f>
        <v>373</v>
      </c>
      <c r="O373" s="71" t="str">
        <f>IF(ISNUMBER(SEARCH(Invoice!$Q$14,C373)),N373,"")</f>
        <v/>
      </c>
      <c r="P373" s="74" t="str">
        <f>IFERROR(SMALL(O373:O840,ROWS($O$2:O373)),"")</f>
        <v/>
      </c>
    </row>
    <row r="374" spans="1:18" x14ac:dyDescent="0.3">
      <c r="A374" s="44"/>
      <c r="B374" s="45"/>
      <c r="C374" s="45"/>
      <c r="D374" s="45"/>
      <c r="E374" s="45"/>
      <c r="F374" s="45"/>
      <c r="G374" s="45"/>
      <c r="H374" s="64"/>
      <c r="I374" s="64"/>
      <c r="J374" s="64"/>
      <c r="K374" s="64"/>
      <c r="L374" s="45"/>
      <c r="M374" s="43"/>
      <c r="N374" s="71">
        <f>ROW()</f>
        <v>374</v>
      </c>
      <c r="O374" s="71" t="str">
        <f>IF(ISNUMBER(SEARCH(Invoice!$Q$14,C374)),N374,"")</f>
        <v/>
      </c>
      <c r="P374" s="74" t="str">
        <f>IFERROR(SMALL(O374:O841,ROWS($O$2:O374)),"")</f>
        <v/>
      </c>
      <c r="Q374" s="43"/>
      <c r="R374" s="43"/>
    </row>
    <row r="375" spans="1:18" x14ac:dyDescent="0.3">
      <c r="A375" s="39"/>
      <c r="B375" s="40"/>
      <c r="C375" s="40"/>
      <c r="D375" s="40"/>
      <c r="E375" s="40"/>
      <c r="F375" s="40"/>
      <c r="G375" s="40"/>
      <c r="H375" s="63"/>
      <c r="I375" s="63"/>
      <c r="J375" s="63"/>
      <c r="K375" s="63"/>
      <c r="L375" s="40"/>
      <c r="N375" s="71">
        <f>ROW()</f>
        <v>375</v>
      </c>
      <c r="O375" s="71" t="str">
        <f>IF(ISNUMBER(SEARCH(Invoice!$Q$14,C375)),N375,"")</f>
        <v/>
      </c>
      <c r="P375" s="74" t="str">
        <f>IFERROR(SMALL(O375:O842,ROWS($O$2:O375)),"")</f>
        <v/>
      </c>
    </row>
    <row r="376" spans="1:18" x14ac:dyDescent="0.3">
      <c r="A376" s="44"/>
      <c r="B376" s="45"/>
      <c r="C376" s="45"/>
      <c r="D376" s="45"/>
      <c r="E376" s="45"/>
      <c r="F376" s="45"/>
      <c r="G376" s="45"/>
      <c r="H376" s="64"/>
      <c r="I376" s="64"/>
      <c r="J376" s="64"/>
      <c r="K376" s="64"/>
      <c r="L376" s="45"/>
      <c r="M376" s="43"/>
      <c r="N376" s="71">
        <f>ROW()</f>
        <v>376</v>
      </c>
      <c r="O376" s="71" t="str">
        <f>IF(ISNUMBER(SEARCH(Invoice!$Q$14,C376)),N376,"")</f>
        <v/>
      </c>
      <c r="P376" s="74" t="str">
        <f>IFERROR(SMALL(O376:O843,ROWS($O$2:O376)),"")</f>
        <v/>
      </c>
      <c r="Q376" s="43"/>
      <c r="R376" s="43"/>
    </row>
    <row r="377" spans="1:18" x14ac:dyDescent="0.3">
      <c r="A377" s="39"/>
      <c r="B377" s="40"/>
      <c r="C377" s="40"/>
      <c r="D377" s="40"/>
      <c r="E377" s="40"/>
      <c r="F377" s="40"/>
      <c r="G377" s="40"/>
      <c r="H377" s="63"/>
      <c r="I377" s="63"/>
      <c r="J377" s="63"/>
      <c r="K377" s="63"/>
      <c r="L377" s="40"/>
      <c r="N377" s="71">
        <f>ROW()</f>
        <v>377</v>
      </c>
      <c r="O377" s="71" t="str">
        <f>IF(ISNUMBER(SEARCH(Invoice!$Q$14,C377)),N377,"")</f>
        <v/>
      </c>
      <c r="P377" s="74" t="str">
        <f>IFERROR(SMALL(O377:O844,ROWS($O$2:O377)),"")</f>
        <v/>
      </c>
    </row>
    <row r="378" spans="1:18" x14ac:dyDescent="0.3">
      <c r="A378" s="44"/>
      <c r="B378" s="45"/>
      <c r="C378" s="45"/>
      <c r="D378" s="45"/>
      <c r="E378" s="45"/>
      <c r="F378" s="45"/>
      <c r="G378" s="45"/>
      <c r="H378" s="64"/>
      <c r="I378" s="64"/>
      <c r="J378" s="64"/>
      <c r="K378" s="64"/>
      <c r="L378" s="45"/>
      <c r="M378" s="43"/>
      <c r="N378" s="71">
        <f>ROW()</f>
        <v>378</v>
      </c>
      <c r="O378" s="71" t="str">
        <f>IF(ISNUMBER(SEARCH(Invoice!$Q$14,C378)),N378,"")</f>
        <v/>
      </c>
      <c r="P378" s="74" t="str">
        <f>IFERROR(SMALL(O378:O845,ROWS($O$2:O378)),"")</f>
        <v/>
      </c>
      <c r="Q378" s="43"/>
      <c r="R378" s="43"/>
    </row>
    <row r="379" spans="1:18" x14ac:dyDescent="0.3">
      <c r="A379" s="39"/>
      <c r="B379" s="40"/>
      <c r="C379" s="40"/>
      <c r="D379" s="40"/>
      <c r="E379" s="40"/>
      <c r="F379" s="40"/>
      <c r="G379" s="40"/>
      <c r="H379" s="63"/>
      <c r="I379" s="63"/>
      <c r="J379" s="63"/>
      <c r="K379" s="63"/>
      <c r="L379" s="40"/>
      <c r="N379" s="71">
        <f>ROW()</f>
        <v>379</v>
      </c>
      <c r="O379" s="71" t="str">
        <f>IF(ISNUMBER(SEARCH(Invoice!$Q$14,C379)),N379,"")</f>
        <v/>
      </c>
      <c r="P379" s="74" t="str">
        <f>IFERROR(SMALL(O379:O846,ROWS($O$2:O379)),"")</f>
        <v/>
      </c>
    </row>
    <row r="380" spans="1:18" x14ac:dyDescent="0.3">
      <c r="A380" s="44"/>
      <c r="B380" s="45"/>
      <c r="C380" s="45"/>
      <c r="D380" s="45"/>
      <c r="E380" s="45"/>
      <c r="F380" s="45"/>
      <c r="G380" s="45"/>
      <c r="H380" s="64"/>
      <c r="I380" s="64"/>
      <c r="J380" s="64"/>
      <c r="K380" s="64"/>
      <c r="L380" s="45"/>
      <c r="M380" s="43"/>
      <c r="N380" s="71">
        <f>ROW()</f>
        <v>380</v>
      </c>
      <c r="O380" s="71" t="str">
        <f>IF(ISNUMBER(SEARCH(Invoice!$Q$14,C380)),N380,"")</f>
        <v/>
      </c>
      <c r="P380" s="74" t="str">
        <f>IFERROR(SMALL(O380:O847,ROWS($O$2:O380)),"")</f>
        <v/>
      </c>
      <c r="Q380" s="43"/>
      <c r="R380" s="43"/>
    </row>
    <row r="381" spans="1:18" x14ac:dyDescent="0.3">
      <c r="A381" s="39"/>
      <c r="B381" s="40"/>
      <c r="C381" s="40"/>
      <c r="D381" s="40"/>
      <c r="E381" s="40"/>
      <c r="F381" s="40"/>
      <c r="G381" s="40"/>
      <c r="H381" s="63"/>
      <c r="I381" s="63"/>
      <c r="J381" s="63"/>
      <c r="K381" s="63"/>
      <c r="L381" s="40"/>
      <c r="N381" s="71">
        <f>ROW()</f>
        <v>381</v>
      </c>
      <c r="O381" s="71" t="str">
        <f>IF(ISNUMBER(SEARCH(Invoice!$Q$14,C381)),N381,"")</f>
        <v/>
      </c>
      <c r="P381" s="74" t="str">
        <f>IFERROR(SMALL(O381:O848,ROWS($O$2:O381)),"")</f>
        <v/>
      </c>
    </row>
    <row r="382" spans="1:18" x14ac:dyDescent="0.3">
      <c r="A382" s="44"/>
      <c r="B382" s="45"/>
      <c r="C382" s="45"/>
      <c r="D382" s="45"/>
      <c r="E382" s="45"/>
      <c r="F382" s="45"/>
      <c r="G382" s="45"/>
      <c r="H382" s="64"/>
      <c r="I382" s="64"/>
      <c r="J382" s="64"/>
      <c r="K382" s="64"/>
      <c r="L382" s="45"/>
      <c r="M382" s="43"/>
      <c r="N382" s="71">
        <f>ROW()</f>
        <v>382</v>
      </c>
      <c r="O382" s="71" t="str">
        <f>IF(ISNUMBER(SEARCH(Invoice!$Q$14,C382)),N382,"")</f>
        <v/>
      </c>
      <c r="P382" s="74" t="str">
        <f>IFERROR(SMALL(O382:O849,ROWS($O$2:O382)),"")</f>
        <v/>
      </c>
      <c r="Q382" s="43"/>
      <c r="R382" s="43"/>
    </row>
    <row r="383" spans="1:18" x14ac:dyDescent="0.3">
      <c r="A383" s="39"/>
      <c r="B383" s="40"/>
      <c r="C383" s="40"/>
      <c r="D383" s="40"/>
      <c r="E383" s="40"/>
      <c r="F383" s="40"/>
      <c r="G383" s="40"/>
      <c r="H383" s="63"/>
      <c r="I383" s="63"/>
      <c r="J383" s="63"/>
      <c r="K383" s="63"/>
      <c r="L383" s="40"/>
      <c r="N383" s="71">
        <f>ROW()</f>
        <v>383</v>
      </c>
      <c r="O383" s="71" t="str">
        <f>IF(ISNUMBER(SEARCH(Invoice!$Q$14,C383)),N383,"")</f>
        <v/>
      </c>
      <c r="P383" s="74" t="str">
        <f>IFERROR(SMALL(O383:O850,ROWS($O$2:O383)),"")</f>
        <v/>
      </c>
    </row>
    <row r="384" spans="1:18" x14ac:dyDescent="0.3">
      <c r="A384" s="44"/>
      <c r="B384" s="45"/>
      <c r="C384" s="45"/>
      <c r="D384" s="45"/>
      <c r="E384" s="45"/>
      <c r="F384" s="45"/>
      <c r="G384" s="45"/>
      <c r="H384" s="64"/>
      <c r="I384" s="64"/>
      <c r="J384" s="64"/>
      <c r="K384" s="64"/>
      <c r="L384" s="45"/>
      <c r="M384" s="43"/>
      <c r="N384" s="71">
        <f>ROW()</f>
        <v>384</v>
      </c>
      <c r="O384" s="71" t="str">
        <f>IF(ISNUMBER(SEARCH(Invoice!$Q$14,C384)),N384,"")</f>
        <v/>
      </c>
      <c r="P384" s="74" t="str">
        <f>IFERROR(SMALL(O384:O851,ROWS($O$2:O384)),"")</f>
        <v/>
      </c>
      <c r="Q384" s="43"/>
      <c r="R384" s="43"/>
    </row>
    <row r="385" spans="1:18" x14ac:dyDescent="0.3">
      <c r="A385" s="39"/>
      <c r="B385" s="40"/>
      <c r="C385" s="40"/>
      <c r="D385" s="40"/>
      <c r="E385" s="40"/>
      <c r="F385" s="40"/>
      <c r="G385" s="40"/>
      <c r="H385" s="63"/>
      <c r="I385" s="63"/>
      <c r="J385" s="63"/>
      <c r="K385" s="63"/>
      <c r="L385" s="40"/>
      <c r="N385" s="71">
        <f>ROW()</f>
        <v>385</v>
      </c>
      <c r="O385" s="71" t="str">
        <f>IF(ISNUMBER(SEARCH(Invoice!$Q$14,C385)),N385,"")</f>
        <v/>
      </c>
      <c r="P385" s="74" t="str">
        <f>IFERROR(SMALL(O385:O852,ROWS($O$2:O385)),"")</f>
        <v/>
      </c>
    </row>
    <row r="386" spans="1:18" x14ac:dyDescent="0.3">
      <c r="A386" s="44"/>
      <c r="B386" s="45"/>
      <c r="C386" s="45"/>
      <c r="D386" s="45"/>
      <c r="E386" s="45"/>
      <c r="F386" s="45"/>
      <c r="G386" s="45"/>
      <c r="H386" s="64"/>
      <c r="I386" s="64"/>
      <c r="J386" s="64"/>
      <c r="K386" s="64"/>
      <c r="L386" s="45"/>
      <c r="M386" s="43"/>
      <c r="N386" s="71">
        <f>ROW()</f>
        <v>386</v>
      </c>
      <c r="O386" s="71" t="str">
        <f>IF(ISNUMBER(SEARCH(Invoice!$Q$14,C386)),N386,"")</f>
        <v/>
      </c>
      <c r="P386" s="74" t="str">
        <f>IFERROR(SMALL(O386:O853,ROWS($O$2:O386)),"")</f>
        <v/>
      </c>
      <c r="Q386" s="43"/>
      <c r="R386" s="43"/>
    </row>
    <row r="387" spans="1:18" x14ac:dyDescent="0.3">
      <c r="A387" s="39"/>
      <c r="B387" s="40"/>
      <c r="C387" s="40"/>
      <c r="D387" s="40"/>
      <c r="E387" s="40"/>
      <c r="F387" s="40"/>
      <c r="G387" s="40"/>
      <c r="H387" s="63"/>
      <c r="I387" s="63"/>
      <c r="J387" s="63"/>
      <c r="K387" s="63"/>
      <c r="L387" s="40"/>
      <c r="N387" s="71">
        <f>ROW()</f>
        <v>387</v>
      </c>
      <c r="O387" s="71" t="str">
        <f>IF(ISNUMBER(SEARCH(Invoice!$Q$14,C387)),N387,"")</f>
        <v/>
      </c>
      <c r="P387" s="74" t="str">
        <f>IFERROR(SMALL(O387:O854,ROWS($O$2:O387)),"")</f>
        <v/>
      </c>
    </row>
    <row r="388" spans="1:18" x14ac:dyDescent="0.3">
      <c r="A388" s="44"/>
      <c r="B388" s="45"/>
      <c r="C388" s="45"/>
      <c r="D388" s="45"/>
      <c r="E388" s="45"/>
      <c r="F388" s="45"/>
      <c r="G388" s="45"/>
      <c r="H388" s="64"/>
      <c r="I388" s="64"/>
      <c r="J388" s="64"/>
      <c r="K388" s="64"/>
      <c r="L388" s="45"/>
      <c r="M388" s="43"/>
      <c r="N388" s="71">
        <f>ROW()</f>
        <v>388</v>
      </c>
      <c r="O388" s="71" t="str">
        <f>IF(ISNUMBER(SEARCH(Invoice!$Q$14,C388)),N388,"")</f>
        <v/>
      </c>
      <c r="P388" s="74" t="str">
        <f>IFERROR(SMALL(O388:O855,ROWS($O$2:O388)),"")</f>
        <v/>
      </c>
      <c r="Q388" s="43"/>
      <c r="R388" s="43"/>
    </row>
    <row r="389" spans="1:18" x14ac:dyDescent="0.3">
      <c r="A389" s="39"/>
      <c r="B389" s="40"/>
      <c r="C389" s="40"/>
      <c r="D389" s="40"/>
      <c r="E389" s="40"/>
      <c r="F389" s="40"/>
      <c r="G389" s="40"/>
      <c r="H389" s="63"/>
      <c r="I389" s="63"/>
      <c r="J389" s="63"/>
      <c r="K389" s="63"/>
      <c r="L389" s="40"/>
      <c r="N389" s="71">
        <f>ROW()</f>
        <v>389</v>
      </c>
      <c r="O389" s="71" t="str">
        <f>IF(ISNUMBER(SEARCH(Invoice!$Q$14,C389)),N389,"")</f>
        <v/>
      </c>
      <c r="P389" s="74" t="str">
        <f>IFERROR(SMALL(O389:O856,ROWS($O$2:O389)),"")</f>
        <v/>
      </c>
    </row>
    <row r="390" spans="1:18" x14ac:dyDescent="0.3">
      <c r="A390" s="44"/>
      <c r="B390" s="45"/>
      <c r="C390" s="45"/>
      <c r="D390" s="45"/>
      <c r="E390" s="45"/>
      <c r="F390" s="45"/>
      <c r="G390" s="45"/>
      <c r="H390" s="64"/>
      <c r="I390" s="64"/>
      <c r="J390" s="64"/>
      <c r="K390" s="64"/>
      <c r="L390" s="45"/>
      <c r="M390" s="43"/>
      <c r="N390" s="71">
        <f>ROW()</f>
        <v>390</v>
      </c>
      <c r="O390" s="71" t="str">
        <f>IF(ISNUMBER(SEARCH(Invoice!$Q$14,C390)),N390,"")</f>
        <v/>
      </c>
      <c r="P390" s="74" t="str">
        <f>IFERROR(SMALL(O390:O857,ROWS($O$2:O390)),"")</f>
        <v/>
      </c>
      <c r="Q390" s="43"/>
      <c r="R390" s="43"/>
    </row>
    <row r="391" spans="1:18" x14ac:dyDescent="0.3">
      <c r="A391" s="39"/>
      <c r="B391" s="40"/>
      <c r="C391" s="40"/>
      <c r="D391" s="40"/>
      <c r="E391" s="40"/>
      <c r="F391" s="40"/>
      <c r="G391" s="40"/>
      <c r="H391" s="63"/>
      <c r="I391" s="63"/>
      <c r="J391" s="63"/>
      <c r="K391" s="63"/>
      <c r="L391" s="40"/>
      <c r="N391" s="71">
        <f>ROW()</f>
        <v>391</v>
      </c>
      <c r="O391" s="71" t="str">
        <f>IF(ISNUMBER(SEARCH(Invoice!$Q$14,C391)),N391,"")</f>
        <v/>
      </c>
      <c r="P391" s="74" t="str">
        <f>IFERROR(SMALL(O391:O858,ROWS($O$2:O391)),"")</f>
        <v/>
      </c>
    </row>
    <row r="392" spans="1:18" x14ac:dyDescent="0.3">
      <c r="A392" s="44"/>
      <c r="B392" s="45"/>
      <c r="C392" s="45"/>
      <c r="D392" s="45"/>
      <c r="E392" s="45"/>
      <c r="F392" s="45"/>
      <c r="G392" s="45"/>
      <c r="H392" s="64"/>
      <c r="I392" s="64"/>
      <c r="J392" s="64"/>
      <c r="K392" s="64"/>
      <c r="L392" s="45"/>
      <c r="M392" s="43"/>
      <c r="N392" s="71">
        <f>ROW()</f>
        <v>392</v>
      </c>
      <c r="O392" s="71" t="str">
        <f>IF(ISNUMBER(SEARCH(Invoice!$Q$14,C392)),N392,"")</f>
        <v/>
      </c>
      <c r="P392" s="74" t="str">
        <f>IFERROR(SMALL(O392:O859,ROWS($O$2:O392)),"")</f>
        <v/>
      </c>
      <c r="Q392" s="43"/>
      <c r="R392" s="43"/>
    </row>
    <row r="393" spans="1:18" x14ac:dyDescent="0.3">
      <c r="A393" s="39"/>
      <c r="B393" s="40"/>
      <c r="C393" s="40"/>
      <c r="D393" s="40"/>
      <c r="E393" s="40"/>
      <c r="F393" s="40"/>
      <c r="G393" s="40"/>
      <c r="H393" s="63"/>
      <c r="I393" s="63"/>
      <c r="J393" s="63"/>
      <c r="K393" s="63"/>
      <c r="L393" s="40"/>
      <c r="N393" s="71">
        <f>ROW()</f>
        <v>393</v>
      </c>
      <c r="O393" s="71" t="str">
        <f>IF(ISNUMBER(SEARCH(Invoice!$Q$14,C393)),N393,"")</f>
        <v/>
      </c>
      <c r="P393" s="74" t="str">
        <f>IFERROR(SMALL(O393:O860,ROWS($O$2:O393)),"")</f>
        <v/>
      </c>
    </row>
    <row r="394" spans="1:18" x14ac:dyDescent="0.3">
      <c r="A394" s="44"/>
      <c r="B394" s="45"/>
      <c r="C394" s="45"/>
      <c r="D394" s="45"/>
      <c r="E394" s="45"/>
      <c r="F394" s="45"/>
      <c r="G394" s="45"/>
      <c r="H394" s="64"/>
      <c r="I394" s="64"/>
      <c r="J394" s="64"/>
      <c r="K394" s="64"/>
      <c r="L394" s="45"/>
      <c r="M394" s="43"/>
      <c r="N394" s="71">
        <f>ROW()</f>
        <v>394</v>
      </c>
      <c r="O394" s="71" t="str">
        <f>IF(ISNUMBER(SEARCH(Invoice!$Q$14,C394)),N394,"")</f>
        <v/>
      </c>
      <c r="P394" s="74" t="str">
        <f>IFERROR(SMALL(O394:O861,ROWS($O$2:O394)),"")</f>
        <v/>
      </c>
      <c r="Q394" s="43"/>
      <c r="R394" s="43"/>
    </row>
    <row r="395" spans="1:18" x14ac:dyDescent="0.3">
      <c r="A395" s="39"/>
      <c r="B395" s="40"/>
      <c r="C395" s="40"/>
      <c r="D395" s="40"/>
      <c r="E395" s="40"/>
      <c r="F395" s="40"/>
      <c r="G395" s="40"/>
      <c r="H395" s="63"/>
      <c r="I395" s="63"/>
      <c r="J395" s="63"/>
      <c r="K395" s="63"/>
      <c r="L395" s="40"/>
      <c r="N395" s="71">
        <f>ROW()</f>
        <v>395</v>
      </c>
      <c r="O395" s="71" t="str">
        <f>IF(ISNUMBER(SEARCH(Invoice!$Q$14,C395)),N395,"")</f>
        <v/>
      </c>
      <c r="P395" s="74" t="str">
        <f>IFERROR(SMALL(O395:O862,ROWS($O$2:O395)),"")</f>
        <v/>
      </c>
    </row>
    <row r="396" spans="1:18" x14ac:dyDescent="0.3">
      <c r="A396" s="44"/>
      <c r="B396" s="45"/>
      <c r="C396" s="45"/>
      <c r="D396" s="45"/>
      <c r="E396" s="45"/>
      <c r="F396" s="45"/>
      <c r="G396" s="45"/>
      <c r="H396" s="64"/>
      <c r="I396" s="64"/>
      <c r="J396" s="64"/>
      <c r="K396" s="64"/>
      <c r="L396" s="45"/>
      <c r="M396" s="43"/>
      <c r="N396" s="71">
        <f>ROW()</f>
        <v>396</v>
      </c>
      <c r="O396" s="71" t="str">
        <f>IF(ISNUMBER(SEARCH(Invoice!$Q$14,C396)),N396,"")</f>
        <v/>
      </c>
      <c r="P396" s="74" t="str">
        <f>IFERROR(SMALL(O396:O863,ROWS($O$2:O396)),"")</f>
        <v/>
      </c>
      <c r="Q396" s="43"/>
      <c r="R396" s="43"/>
    </row>
    <row r="397" spans="1:18" x14ac:dyDescent="0.3">
      <c r="A397" s="39"/>
      <c r="B397" s="40"/>
      <c r="C397" s="40"/>
      <c r="D397" s="40"/>
      <c r="E397" s="40"/>
      <c r="F397" s="40"/>
      <c r="G397" s="40"/>
      <c r="H397" s="63"/>
      <c r="I397" s="63"/>
      <c r="J397" s="63"/>
      <c r="K397" s="63"/>
      <c r="L397" s="40"/>
      <c r="N397" s="71">
        <f>ROW()</f>
        <v>397</v>
      </c>
      <c r="O397" s="71" t="str">
        <f>IF(ISNUMBER(SEARCH(Invoice!$Q$14,C397)),N397,"")</f>
        <v/>
      </c>
      <c r="P397" s="74" t="str">
        <f>IFERROR(SMALL(O397:O864,ROWS($O$2:O397)),"")</f>
        <v/>
      </c>
    </row>
    <row r="398" spans="1:18" x14ac:dyDescent="0.3">
      <c r="A398" s="44"/>
      <c r="B398" s="45"/>
      <c r="C398" s="45"/>
      <c r="D398" s="45"/>
      <c r="E398" s="45"/>
      <c r="F398" s="45"/>
      <c r="G398" s="45"/>
      <c r="H398" s="64"/>
      <c r="I398" s="64"/>
      <c r="J398" s="64"/>
      <c r="K398" s="64"/>
      <c r="L398" s="45"/>
      <c r="M398" s="43"/>
      <c r="N398" s="71">
        <f>ROW()</f>
        <v>398</v>
      </c>
      <c r="O398" s="71" t="str">
        <f>IF(ISNUMBER(SEARCH(Invoice!$Q$14,C398)),N398,"")</f>
        <v/>
      </c>
      <c r="P398" s="74" t="str">
        <f>IFERROR(SMALL(O398:O865,ROWS($O$2:O398)),"")</f>
        <v/>
      </c>
      <c r="Q398" s="43"/>
      <c r="R398" s="43"/>
    </row>
    <row r="399" spans="1:18" x14ac:dyDescent="0.3">
      <c r="A399" s="39"/>
      <c r="B399" s="40"/>
      <c r="C399" s="40"/>
      <c r="D399" s="40"/>
      <c r="E399" s="40"/>
      <c r="F399" s="40"/>
      <c r="G399" s="40"/>
      <c r="H399" s="63"/>
      <c r="I399" s="63"/>
      <c r="J399" s="63"/>
      <c r="K399" s="63"/>
      <c r="L399" s="40"/>
      <c r="N399" s="71">
        <f>ROW()</f>
        <v>399</v>
      </c>
      <c r="O399" s="71" t="str">
        <f>IF(ISNUMBER(SEARCH(Invoice!$Q$14,C399)),N399,"")</f>
        <v/>
      </c>
      <c r="P399" s="74" t="str">
        <f>IFERROR(SMALL(O399:O866,ROWS($O$2:O399)),"")</f>
        <v/>
      </c>
    </row>
    <row r="400" spans="1:18" x14ac:dyDescent="0.3">
      <c r="A400" s="44"/>
      <c r="B400" s="45"/>
      <c r="C400" s="45"/>
      <c r="D400" s="45"/>
      <c r="E400" s="45"/>
      <c r="F400" s="45"/>
      <c r="G400" s="45"/>
      <c r="H400" s="64"/>
      <c r="I400" s="64"/>
      <c r="J400" s="64"/>
      <c r="K400" s="64"/>
      <c r="L400" s="45"/>
      <c r="M400" s="43"/>
      <c r="N400" s="71">
        <f>ROW()</f>
        <v>400</v>
      </c>
      <c r="O400" s="71" t="str">
        <f>IF(ISNUMBER(SEARCH(Invoice!$Q$14,C400)),N400,"")</f>
        <v/>
      </c>
      <c r="P400" s="74" t="str">
        <f>IFERROR(SMALL(O400:O867,ROWS($O$2:O400)),"")</f>
        <v/>
      </c>
      <c r="Q400" s="43"/>
      <c r="R400" s="43"/>
    </row>
    <row r="401" spans="1:18" x14ac:dyDescent="0.3">
      <c r="A401" s="39"/>
      <c r="B401" s="40"/>
      <c r="C401" s="40"/>
      <c r="D401" s="40"/>
      <c r="E401" s="40"/>
      <c r="F401" s="40"/>
      <c r="G401" s="40"/>
      <c r="H401" s="63"/>
      <c r="I401" s="63"/>
      <c r="J401" s="63"/>
      <c r="K401" s="63"/>
      <c r="L401" s="40"/>
      <c r="N401" s="71">
        <f>ROW()</f>
        <v>401</v>
      </c>
      <c r="O401" s="71" t="str">
        <f>IF(ISNUMBER(SEARCH(Invoice!$Q$14,C401)),N401,"")</f>
        <v/>
      </c>
      <c r="P401" s="74" t="str">
        <f>IFERROR(SMALL(O401:O868,ROWS($O$2:O401)),"")</f>
        <v/>
      </c>
    </row>
    <row r="402" spans="1:18" x14ac:dyDescent="0.3">
      <c r="A402" s="44"/>
      <c r="B402" s="45"/>
      <c r="C402" s="45"/>
      <c r="D402" s="45"/>
      <c r="E402" s="45"/>
      <c r="F402" s="45"/>
      <c r="G402" s="45"/>
      <c r="H402" s="64"/>
      <c r="I402" s="64"/>
      <c r="J402" s="64"/>
      <c r="K402" s="64"/>
      <c r="L402" s="45"/>
      <c r="M402" s="43"/>
      <c r="N402" s="71">
        <f>ROW()</f>
        <v>402</v>
      </c>
      <c r="O402" s="71" t="str">
        <f>IF(ISNUMBER(SEARCH(Invoice!$Q$14,C402)),N402,"")</f>
        <v/>
      </c>
      <c r="P402" s="74" t="str">
        <f>IFERROR(SMALL(O402:O869,ROWS($O$2:O402)),"")</f>
        <v/>
      </c>
      <c r="Q402" s="43"/>
      <c r="R402" s="43"/>
    </row>
    <row r="403" spans="1:18" x14ac:dyDescent="0.3">
      <c r="A403" s="39"/>
      <c r="B403" s="40"/>
      <c r="C403" s="40"/>
      <c r="D403" s="40"/>
      <c r="E403" s="40"/>
      <c r="F403" s="40"/>
      <c r="G403" s="40"/>
      <c r="H403" s="63"/>
      <c r="I403" s="63"/>
      <c r="J403" s="63"/>
      <c r="K403" s="63"/>
      <c r="L403" s="40"/>
      <c r="N403" s="71">
        <f>ROW()</f>
        <v>403</v>
      </c>
      <c r="O403" s="71" t="str">
        <f>IF(ISNUMBER(SEARCH(Invoice!$Q$14,C403)),N403,"")</f>
        <v/>
      </c>
      <c r="P403" s="74" t="str">
        <f>IFERROR(SMALL(O403:O870,ROWS($O$2:O403)),"")</f>
        <v/>
      </c>
    </row>
    <row r="404" spans="1:18" x14ac:dyDescent="0.3">
      <c r="A404" s="44"/>
      <c r="B404" s="45"/>
      <c r="C404" s="45"/>
      <c r="D404" s="45"/>
      <c r="E404" s="45"/>
      <c r="F404" s="45"/>
      <c r="G404" s="45"/>
      <c r="H404" s="64"/>
      <c r="I404" s="64"/>
      <c r="J404" s="64"/>
      <c r="K404" s="64"/>
      <c r="L404" s="45"/>
      <c r="M404" s="43"/>
      <c r="N404" s="71">
        <f>ROW()</f>
        <v>404</v>
      </c>
      <c r="O404" s="71" t="str">
        <f>IF(ISNUMBER(SEARCH(Invoice!$Q$14,C404)),N404,"")</f>
        <v/>
      </c>
      <c r="P404" s="74" t="str">
        <f>IFERROR(SMALL(O404:O871,ROWS($O$2:O404)),"")</f>
        <v/>
      </c>
      <c r="Q404" s="43"/>
      <c r="R404" s="43"/>
    </row>
    <row r="405" spans="1:18" x14ac:dyDescent="0.3">
      <c r="A405" s="39"/>
      <c r="B405" s="40"/>
      <c r="C405" s="40"/>
      <c r="D405" s="40"/>
      <c r="E405" s="40"/>
      <c r="F405" s="40"/>
      <c r="G405" s="40"/>
      <c r="H405" s="63"/>
      <c r="I405" s="63"/>
      <c r="J405" s="63"/>
      <c r="K405" s="63"/>
      <c r="L405" s="40"/>
      <c r="N405" s="71">
        <f>ROW()</f>
        <v>405</v>
      </c>
      <c r="O405" s="71" t="str">
        <f>IF(ISNUMBER(SEARCH(Invoice!$Q$14,C405)),N405,"")</f>
        <v/>
      </c>
      <c r="P405" s="74" t="str">
        <f>IFERROR(SMALL(O405:O872,ROWS($O$2:O405)),"")</f>
        <v/>
      </c>
    </row>
    <row r="406" spans="1:18" x14ac:dyDescent="0.3">
      <c r="A406" s="44"/>
      <c r="B406" s="45"/>
      <c r="C406" s="45"/>
      <c r="D406" s="45"/>
      <c r="E406" s="45"/>
      <c r="F406" s="45"/>
      <c r="G406" s="45"/>
      <c r="H406" s="64"/>
      <c r="I406" s="64"/>
      <c r="J406" s="64"/>
      <c r="K406" s="64"/>
      <c r="L406" s="45"/>
      <c r="M406" s="43"/>
      <c r="N406" s="71">
        <f>ROW()</f>
        <v>406</v>
      </c>
      <c r="O406" s="71" t="str">
        <f>IF(ISNUMBER(SEARCH(Invoice!$Q$14,C406)),N406,"")</f>
        <v/>
      </c>
      <c r="P406" s="74" t="str">
        <f>IFERROR(SMALL(O406:O873,ROWS($O$2:O406)),"")</f>
        <v/>
      </c>
      <c r="Q406" s="43"/>
      <c r="R406" s="43"/>
    </row>
    <row r="407" spans="1:18" x14ac:dyDescent="0.3">
      <c r="A407" s="39"/>
      <c r="B407" s="40"/>
      <c r="C407" s="40"/>
      <c r="D407" s="40"/>
      <c r="E407" s="40"/>
      <c r="F407" s="40"/>
      <c r="G407" s="40"/>
      <c r="H407" s="63"/>
      <c r="I407" s="63"/>
      <c r="J407" s="63"/>
      <c r="K407" s="63"/>
      <c r="L407" s="40"/>
      <c r="N407" s="71">
        <f>ROW()</f>
        <v>407</v>
      </c>
      <c r="O407" s="71" t="str">
        <f>IF(ISNUMBER(SEARCH(Invoice!$Q$14,C407)),N407,"")</f>
        <v/>
      </c>
      <c r="P407" s="74" t="str">
        <f>IFERROR(SMALL(O407:O874,ROWS($O$2:O407)),"")</f>
        <v/>
      </c>
    </row>
    <row r="408" spans="1:18" x14ac:dyDescent="0.3">
      <c r="A408" s="44"/>
      <c r="B408" s="45"/>
      <c r="C408" s="45"/>
      <c r="D408" s="45"/>
      <c r="E408" s="45"/>
      <c r="F408" s="45"/>
      <c r="G408" s="45"/>
      <c r="H408" s="64"/>
      <c r="I408" s="64"/>
      <c r="J408" s="64"/>
      <c r="K408" s="64"/>
      <c r="L408" s="45"/>
      <c r="M408" s="43"/>
      <c r="N408" s="71">
        <f>ROW()</f>
        <v>408</v>
      </c>
      <c r="O408" s="71" t="str">
        <f>IF(ISNUMBER(SEARCH(Invoice!$Q$14,C408)),N408,"")</f>
        <v/>
      </c>
      <c r="P408" s="74" t="str">
        <f>IFERROR(SMALL(O408:O875,ROWS($O$2:O408)),"")</f>
        <v/>
      </c>
      <c r="Q408" s="43"/>
      <c r="R408" s="43"/>
    </row>
    <row r="409" spans="1:18" x14ac:dyDescent="0.3">
      <c r="A409" s="39"/>
      <c r="B409" s="40"/>
      <c r="C409" s="40"/>
      <c r="D409" s="40"/>
      <c r="E409" s="40"/>
      <c r="F409" s="40"/>
      <c r="G409" s="40"/>
      <c r="H409" s="63"/>
      <c r="I409" s="63"/>
      <c r="J409" s="63"/>
      <c r="K409" s="63"/>
      <c r="L409" s="40"/>
      <c r="N409" s="71">
        <f>ROW()</f>
        <v>409</v>
      </c>
      <c r="O409" s="71" t="str">
        <f>IF(ISNUMBER(SEARCH(Invoice!$Q$14,C409)),N409,"")</f>
        <v/>
      </c>
      <c r="P409" s="74" t="str">
        <f>IFERROR(SMALL(O409:O876,ROWS($O$2:O409)),"")</f>
        <v/>
      </c>
    </row>
    <row r="410" spans="1:18" x14ac:dyDescent="0.3">
      <c r="A410" s="44"/>
      <c r="B410" s="45"/>
      <c r="C410" s="45"/>
      <c r="D410" s="45"/>
      <c r="E410" s="45"/>
      <c r="F410" s="45"/>
      <c r="G410" s="45"/>
      <c r="H410" s="64"/>
      <c r="I410" s="64"/>
      <c r="J410" s="64"/>
      <c r="K410" s="64"/>
      <c r="L410" s="45"/>
      <c r="M410" s="43"/>
      <c r="N410" s="71">
        <f>ROW()</f>
        <v>410</v>
      </c>
      <c r="O410" s="71" t="str">
        <f>IF(ISNUMBER(SEARCH(Invoice!$Q$14,C410)),N410,"")</f>
        <v/>
      </c>
      <c r="P410" s="74" t="str">
        <f>IFERROR(SMALL(O410:O877,ROWS($O$2:O410)),"")</f>
        <v/>
      </c>
      <c r="Q410" s="43"/>
      <c r="R410" s="43"/>
    </row>
    <row r="411" spans="1:18" x14ac:dyDescent="0.3">
      <c r="A411" s="39"/>
      <c r="B411" s="40"/>
      <c r="C411" s="40"/>
      <c r="D411" s="40"/>
      <c r="E411" s="40"/>
      <c r="F411" s="40"/>
      <c r="G411" s="40"/>
      <c r="H411" s="63"/>
      <c r="I411" s="63"/>
      <c r="J411" s="63"/>
      <c r="K411" s="63"/>
      <c r="L411" s="40"/>
      <c r="N411" s="71">
        <f>ROW()</f>
        <v>411</v>
      </c>
      <c r="O411" s="71" t="str">
        <f>IF(ISNUMBER(SEARCH(Invoice!$Q$14,C411)),N411,"")</f>
        <v/>
      </c>
      <c r="P411" s="74" t="str">
        <f>IFERROR(SMALL(O411:O878,ROWS($O$2:O411)),"")</f>
        <v/>
      </c>
    </row>
    <row r="412" spans="1:18" x14ac:dyDescent="0.3">
      <c r="A412" s="44"/>
      <c r="B412" s="45"/>
      <c r="C412" s="45"/>
      <c r="D412" s="45"/>
      <c r="E412" s="45"/>
      <c r="F412" s="45"/>
      <c r="G412" s="45"/>
      <c r="H412" s="64"/>
      <c r="I412" s="64"/>
      <c r="J412" s="64"/>
      <c r="K412" s="64"/>
      <c r="L412" s="45"/>
      <c r="M412" s="43"/>
      <c r="N412" s="71">
        <f>ROW()</f>
        <v>412</v>
      </c>
      <c r="O412" s="71" t="str">
        <f>IF(ISNUMBER(SEARCH(Invoice!$Q$14,C412)),N412,"")</f>
        <v/>
      </c>
      <c r="P412" s="74" t="str">
        <f>IFERROR(SMALL(O412:O879,ROWS($O$2:O412)),"")</f>
        <v/>
      </c>
      <c r="Q412" s="43"/>
      <c r="R412" s="43"/>
    </row>
    <row r="413" spans="1:18" x14ac:dyDescent="0.3">
      <c r="A413" s="39"/>
      <c r="B413" s="40"/>
      <c r="C413" s="40"/>
      <c r="D413" s="40"/>
      <c r="E413" s="40"/>
      <c r="F413" s="40"/>
      <c r="G413" s="40"/>
      <c r="H413" s="63"/>
      <c r="I413" s="63"/>
      <c r="J413" s="63"/>
      <c r="K413" s="63"/>
      <c r="L413" s="40"/>
      <c r="N413" s="71">
        <f>ROW()</f>
        <v>413</v>
      </c>
      <c r="O413" s="71" t="str">
        <f>IF(ISNUMBER(SEARCH(Invoice!$Q$14,C413)),N413,"")</f>
        <v/>
      </c>
      <c r="P413" s="74" t="str">
        <f>IFERROR(SMALL(O413:O880,ROWS($O$2:O413)),"")</f>
        <v/>
      </c>
    </row>
    <row r="414" spans="1:18" x14ac:dyDescent="0.3">
      <c r="A414" s="44"/>
      <c r="B414" s="45"/>
      <c r="C414" s="45"/>
      <c r="D414" s="45"/>
      <c r="E414" s="45"/>
      <c r="F414" s="45"/>
      <c r="G414" s="45"/>
      <c r="H414" s="64"/>
      <c r="I414" s="64"/>
      <c r="J414" s="64"/>
      <c r="K414" s="64"/>
      <c r="L414" s="45"/>
      <c r="M414" s="43"/>
      <c r="N414" s="71">
        <f>ROW()</f>
        <v>414</v>
      </c>
      <c r="O414" s="71" t="str">
        <f>IF(ISNUMBER(SEARCH(Invoice!$Q$14,C414)),N414,"")</f>
        <v/>
      </c>
      <c r="P414" s="74" t="str">
        <f>IFERROR(SMALL(O414:O881,ROWS($O$2:O414)),"")</f>
        <v/>
      </c>
      <c r="Q414" s="43"/>
      <c r="R414" s="43"/>
    </row>
    <row r="415" spans="1:18" x14ac:dyDescent="0.3">
      <c r="A415" s="39"/>
      <c r="B415" s="40"/>
      <c r="C415" s="40"/>
      <c r="D415" s="40"/>
      <c r="E415" s="40"/>
      <c r="F415" s="40"/>
      <c r="G415" s="40"/>
      <c r="H415" s="63"/>
      <c r="I415" s="63"/>
      <c r="J415" s="63"/>
      <c r="K415" s="63"/>
      <c r="L415" s="40"/>
      <c r="N415" s="71">
        <f>ROW()</f>
        <v>415</v>
      </c>
      <c r="O415" s="71" t="str">
        <f>IF(ISNUMBER(SEARCH(Invoice!$Q$14,C415)),N415,"")</f>
        <v/>
      </c>
      <c r="P415" s="74" t="str">
        <f>IFERROR(SMALL(O415:O882,ROWS($O$2:O415)),"")</f>
        <v/>
      </c>
    </row>
    <row r="416" spans="1:18" x14ac:dyDescent="0.3">
      <c r="A416" s="44"/>
      <c r="B416" s="45"/>
      <c r="C416" s="45"/>
      <c r="D416" s="45"/>
      <c r="E416" s="45"/>
      <c r="F416" s="45"/>
      <c r="G416" s="45"/>
      <c r="H416" s="64"/>
      <c r="I416" s="64"/>
      <c r="J416" s="64"/>
      <c r="K416" s="64"/>
      <c r="L416" s="45"/>
      <c r="M416" s="43"/>
      <c r="N416" s="71">
        <f>ROW()</f>
        <v>416</v>
      </c>
      <c r="O416" s="71" t="str">
        <f>IF(ISNUMBER(SEARCH(Invoice!$Q$14,C416)),N416,"")</f>
        <v/>
      </c>
      <c r="P416" s="74" t="str">
        <f>IFERROR(SMALL(O416:O883,ROWS($O$2:O416)),"")</f>
        <v/>
      </c>
      <c r="Q416" s="43"/>
      <c r="R416" s="43"/>
    </row>
    <row r="417" spans="1:18" x14ac:dyDescent="0.3">
      <c r="A417" s="39"/>
      <c r="B417" s="40"/>
      <c r="C417" s="40"/>
      <c r="D417" s="40"/>
      <c r="E417" s="40"/>
      <c r="F417" s="40"/>
      <c r="G417" s="40"/>
      <c r="H417" s="63"/>
      <c r="I417" s="63"/>
      <c r="J417" s="63"/>
      <c r="K417" s="63"/>
      <c r="L417" s="40"/>
      <c r="N417" s="71">
        <f>ROW()</f>
        <v>417</v>
      </c>
      <c r="O417" s="71" t="str">
        <f>IF(ISNUMBER(SEARCH(Invoice!$Q$14,C417)),N417,"")</f>
        <v/>
      </c>
      <c r="P417" s="74" t="str">
        <f>IFERROR(SMALL(O417:O884,ROWS($O$2:O417)),"")</f>
        <v/>
      </c>
    </row>
    <row r="418" spans="1:18" x14ac:dyDescent="0.3">
      <c r="A418" s="44"/>
      <c r="B418" s="45"/>
      <c r="C418" s="45"/>
      <c r="D418" s="45"/>
      <c r="E418" s="45"/>
      <c r="F418" s="45"/>
      <c r="G418" s="45"/>
      <c r="H418" s="64"/>
      <c r="I418" s="64"/>
      <c r="J418" s="64"/>
      <c r="K418" s="64"/>
      <c r="L418" s="45"/>
      <c r="M418" s="43"/>
      <c r="N418" s="71">
        <f>ROW()</f>
        <v>418</v>
      </c>
      <c r="O418" s="71" t="str">
        <f>IF(ISNUMBER(SEARCH(Invoice!$Q$14,C418)),N418,"")</f>
        <v/>
      </c>
      <c r="P418" s="74" t="str">
        <f>IFERROR(SMALL(O418:O885,ROWS($O$2:O418)),"")</f>
        <v/>
      </c>
      <c r="Q418" s="43"/>
      <c r="R418" s="43"/>
    </row>
    <row r="419" spans="1:18" x14ac:dyDescent="0.3">
      <c r="A419" s="39"/>
      <c r="B419" s="40"/>
      <c r="C419" s="40"/>
      <c r="D419" s="40"/>
      <c r="E419" s="40"/>
      <c r="F419" s="40"/>
      <c r="G419" s="40"/>
      <c r="H419" s="63"/>
      <c r="I419" s="63"/>
      <c r="J419" s="63"/>
      <c r="K419" s="63"/>
      <c r="L419" s="40"/>
      <c r="N419" s="71">
        <f>ROW()</f>
        <v>419</v>
      </c>
      <c r="O419" s="71" t="str">
        <f>IF(ISNUMBER(SEARCH(Invoice!$Q$14,C419)),N419,"")</f>
        <v/>
      </c>
      <c r="P419" s="74" t="str">
        <f>IFERROR(SMALL(O419:O886,ROWS($O$2:O419)),"")</f>
        <v/>
      </c>
    </row>
    <row r="420" spans="1:18" x14ac:dyDescent="0.3">
      <c r="A420" s="44"/>
      <c r="B420" s="45"/>
      <c r="C420" s="45"/>
      <c r="D420" s="45"/>
      <c r="E420" s="45"/>
      <c r="F420" s="45"/>
      <c r="G420" s="45"/>
      <c r="H420" s="64"/>
      <c r="I420" s="64"/>
      <c r="J420" s="64"/>
      <c r="K420" s="64"/>
      <c r="L420" s="45"/>
      <c r="M420" s="43"/>
      <c r="N420" s="71">
        <f>ROW()</f>
        <v>420</v>
      </c>
      <c r="O420" s="71" t="str">
        <f>IF(ISNUMBER(SEARCH(Invoice!$Q$14,C420)),N420,"")</f>
        <v/>
      </c>
      <c r="P420" s="74" t="str">
        <f>IFERROR(SMALL(O420:O887,ROWS($O$2:O420)),"")</f>
        <v/>
      </c>
      <c r="Q420" s="43"/>
      <c r="R420" s="43"/>
    </row>
    <row r="421" spans="1:18" x14ac:dyDescent="0.3">
      <c r="A421" s="39"/>
      <c r="B421" s="40"/>
      <c r="C421" s="40"/>
      <c r="D421" s="40"/>
      <c r="E421" s="40"/>
      <c r="F421" s="40"/>
      <c r="G421" s="40"/>
      <c r="H421" s="63"/>
      <c r="I421" s="63"/>
      <c r="J421" s="63"/>
      <c r="K421" s="63"/>
      <c r="L421" s="40"/>
      <c r="N421" s="71">
        <f>ROW()</f>
        <v>421</v>
      </c>
      <c r="O421" s="71" t="str">
        <f>IF(ISNUMBER(SEARCH(Invoice!$Q$14,C421)),N421,"")</f>
        <v/>
      </c>
      <c r="P421" s="74" t="str">
        <f>IFERROR(SMALL(O421:O888,ROWS($O$2:O421)),"")</f>
        <v/>
      </c>
    </row>
    <row r="422" spans="1:18" x14ac:dyDescent="0.3">
      <c r="A422" s="44"/>
      <c r="B422" s="45"/>
      <c r="C422" s="45"/>
      <c r="D422" s="45"/>
      <c r="E422" s="45"/>
      <c r="F422" s="45"/>
      <c r="G422" s="45"/>
      <c r="H422" s="64"/>
      <c r="I422" s="64"/>
      <c r="J422" s="64"/>
      <c r="K422" s="64"/>
      <c r="L422" s="45"/>
      <c r="M422" s="43"/>
      <c r="N422" s="71">
        <f>ROW()</f>
        <v>422</v>
      </c>
      <c r="O422" s="71" t="str">
        <f>IF(ISNUMBER(SEARCH(Invoice!$Q$14,C422)),N422,"")</f>
        <v/>
      </c>
      <c r="P422" s="74" t="str">
        <f>IFERROR(SMALL(O422:O889,ROWS($O$2:O422)),"")</f>
        <v/>
      </c>
      <c r="Q422" s="43"/>
      <c r="R422" s="43"/>
    </row>
    <row r="423" spans="1:18" x14ac:dyDescent="0.3">
      <c r="A423" s="39"/>
      <c r="B423" s="40"/>
      <c r="C423" s="40"/>
      <c r="D423" s="40"/>
      <c r="E423" s="40"/>
      <c r="F423" s="40"/>
      <c r="G423" s="40"/>
      <c r="H423" s="63"/>
      <c r="I423" s="63"/>
      <c r="J423" s="63"/>
      <c r="K423" s="63"/>
      <c r="L423" s="40"/>
      <c r="N423" s="71">
        <f>ROW()</f>
        <v>423</v>
      </c>
      <c r="O423" s="71" t="str">
        <f>IF(ISNUMBER(SEARCH(Invoice!$Q$14,C423)),N423,"")</f>
        <v/>
      </c>
      <c r="P423" s="74" t="str">
        <f>IFERROR(SMALL(O423:O890,ROWS($O$2:O423)),"")</f>
        <v/>
      </c>
    </row>
    <row r="424" spans="1:18" x14ac:dyDescent="0.3">
      <c r="A424" s="44"/>
      <c r="B424" s="45"/>
      <c r="C424" s="45"/>
      <c r="D424" s="45"/>
      <c r="E424" s="45"/>
      <c r="F424" s="45"/>
      <c r="G424" s="45"/>
      <c r="H424" s="64"/>
      <c r="I424" s="64"/>
      <c r="J424" s="64"/>
      <c r="K424" s="64"/>
      <c r="L424" s="45"/>
      <c r="M424" s="43"/>
      <c r="N424" s="71">
        <f>ROW()</f>
        <v>424</v>
      </c>
      <c r="O424" s="71" t="str">
        <f>IF(ISNUMBER(SEARCH(Invoice!$Q$14,C424)),N424,"")</f>
        <v/>
      </c>
      <c r="P424" s="74" t="str">
        <f>IFERROR(SMALL(O424:O891,ROWS($O$2:O424)),"")</f>
        <v/>
      </c>
      <c r="Q424" s="43"/>
      <c r="R424" s="43"/>
    </row>
    <row r="425" spans="1:18" x14ac:dyDescent="0.3">
      <c r="A425" s="39"/>
      <c r="B425" s="40"/>
      <c r="C425" s="40"/>
      <c r="D425" s="40"/>
      <c r="E425" s="40"/>
      <c r="F425" s="40"/>
      <c r="G425" s="40"/>
      <c r="H425" s="63"/>
      <c r="I425" s="63"/>
      <c r="J425" s="63"/>
      <c r="K425" s="63"/>
      <c r="L425" s="40"/>
      <c r="N425" s="71">
        <f>ROW()</f>
        <v>425</v>
      </c>
      <c r="O425" s="71" t="str">
        <f>IF(ISNUMBER(SEARCH(Invoice!$Q$14,C425)),N425,"")</f>
        <v/>
      </c>
      <c r="P425" s="74" t="str">
        <f>IFERROR(SMALL(O425:O892,ROWS($O$2:O425)),"")</f>
        <v/>
      </c>
    </row>
    <row r="426" spans="1:18" x14ac:dyDescent="0.3">
      <c r="A426" s="44"/>
      <c r="B426" s="45"/>
      <c r="C426" s="45"/>
      <c r="D426" s="45"/>
      <c r="E426" s="45"/>
      <c r="F426" s="45"/>
      <c r="G426" s="45"/>
      <c r="H426" s="64"/>
      <c r="I426" s="64"/>
      <c r="J426" s="64"/>
      <c r="K426" s="64"/>
      <c r="L426" s="45"/>
      <c r="M426" s="43"/>
      <c r="N426" s="71">
        <f>ROW()</f>
        <v>426</v>
      </c>
      <c r="O426" s="71" t="str">
        <f>IF(ISNUMBER(SEARCH(Invoice!$Q$14,C426)),N426,"")</f>
        <v/>
      </c>
      <c r="P426" s="74" t="str">
        <f>IFERROR(SMALL(O426:O893,ROWS($O$2:O426)),"")</f>
        <v/>
      </c>
      <c r="Q426" s="43"/>
      <c r="R426" s="43"/>
    </row>
    <row r="427" spans="1:18" x14ac:dyDescent="0.3">
      <c r="A427" s="39"/>
      <c r="B427" s="40"/>
      <c r="C427" s="40"/>
      <c r="D427" s="40"/>
      <c r="E427" s="40"/>
      <c r="F427" s="40"/>
      <c r="G427" s="40"/>
      <c r="H427" s="63"/>
      <c r="I427" s="63"/>
      <c r="J427" s="63"/>
      <c r="K427" s="63"/>
      <c r="L427" s="40"/>
      <c r="N427" s="71">
        <f>ROW()</f>
        <v>427</v>
      </c>
      <c r="O427" s="71" t="str">
        <f>IF(ISNUMBER(SEARCH(Invoice!$Q$14,C427)),N427,"")</f>
        <v/>
      </c>
      <c r="P427" s="74" t="str">
        <f>IFERROR(SMALL(O427:O894,ROWS($O$2:O427)),"")</f>
        <v/>
      </c>
    </row>
    <row r="428" spans="1:18" x14ac:dyDescent="0.3">
      <c r="A428" s="44"/>
      <c r="B428" s="45"/>
      <c r="C428" s="45"/>
      <c r="D428" s="45"/>
      <c r="E428" s="45"/>
      <c r="F428" s="45"/>
      <c r="G428" s="45"/>
      <c r="H428" s="64"/>
      <c r="I428" s="64"/>
      <c r="J428" s="64"/>
      <c r="K428" s="64"/>
      <c r="L428" s="45"/>
      <c r="M428" s="43"/>
      <c r="N428" s="71">
        <f>ROW()</f>
        <v>428</v>
      </c>
      <c r="O428" s="71" t="str">
        <f>IF(ISNUMBER(SEARCH(Invoice!$Q$14,C428)),N428,"")</f>
        <v/>
      </c>
      <c r="P428" s="74" t="str">
        <f>IFERROR(SMALL(O428:O895,ROWS($O$2:O428)),"")</f>
        <v/>
      </c>
      <c r="Q428" s="43"/>
      <c r="R428" s="43"/>
    </row>
    <row r="429" spans="1:18" x14ac:dyDescent="0.3">
      <c r="A429" s="39"/>
      <c r="B429" s="40"/>
      <c r="C429" s="40"/>
      <c r="D429" s="40"/>
      <c r="E429" s="40"/>
      <c r="F429" s="40"/>
      <c r="G429" s="40"/>
      <c r="H429" s="63"/>
      <c r="I429" s="63"/>
      <c r="J429" s="63"/>
      <c r="K429" s="63"/>
      <c r="L429" s="40"/>
      <c r="N429" s="71">
        <f>ROW()</f>
        <v>429</v>
      </c>
      <c r="O429" s="71" t="str">
        <f>IF(ISNUMBER(SEARCH(Invoice!$Q$14,C429)),N429,"")</f>
        <v/>
      </c>
      <c r="P429" s="74" t="str">
        <f>IFERROR(SMALL(O429:O896,ROWS($O$2:O429)),"")</f>
        <v/>
      </c>
    </row>
    <row r="430" spans="1:18" x14ac:dyDescent="0.3">
      <c r="A430" s="44"/>
      <c r="B430" s="45"/>
      <c r="C430" s="45"/>
      <c r="D430" s="45"/>
      <c r="E430" s="45"/>
      <c r="F430" s="45"/>
      <c r="G430" s="45"/>
      <c r="H430" s="64"/>
      <c r="I430" s="64"/>
      <c r="J430" s="64"/>
      <c r="K430" s="64"/>
      <c r="L430" s="45"/>
      <c r="M430" s="43"/>
      <c r="N430" s="71">
        <f>ROW()</f>
        <v>430</v>
      </c>
      <c r="O430" s="71" t="str">
        <f>IF(ISNUMBER(SEARCH(Invoice!$Q$14,C430)),N430,"")</f>
        <v/>
      </c>
      <c r="P430" s="74" t="str">
        <f>IFERROR(SMALL(O430:O897,ROWS($O$2:O430)),"")</f>
        <v/>
      </c>
      <c r="Q430" s="43"/>
      <c r="R430" s="43"/>
    </row>
    <row r="431" spans="1:18" x14ac:dyDescent="0.3">
      <c r="A431" s="39"/>
      <c r="B431" s="40"/>
      <c r="C431" s="40"/>
      <c r="D431" s="40"/>
      <c r="E431" s="40"/>
      <c r="F431" s="40"/>
      <c r="G431" s="40"/>
      <c r="H431" s="63"/>
      <c r="I431" s="63"/>
      <c r="J431" s="63"/>
      <c r="K431" s="63"/>
      <c r="L431" s="40"/>
      <c r="N431" s="71">
        <f>ROW()</f>
        <v>431</v>
      </c>
      <c r="O431" s="71" t="str">
        <f>IF(ISNUMBER(SEARCH(Invoice!$Q$14,C431)),N431,"")</f>
        <v/>
      </c>
      <c r="P431" s="74" t="str">
        <f>IFERROR(SMALL(O431:O898,ROWS($O$2:O431)),"")</f>
        <v/>
      </c>
    </row>
    <row r="432" spans="1:18" x14ac:dyDescent="0.3">
      <c r="A432" s="44"/>
      <c r="B432" s="45"/>
      <c r="C432" s="45"/>
      <c r="D432" s="45"/>
      <c r="E432" s="45"/>
      <c r="F432" s="45"/>
      <c r="G432" s="45"/>
      <c r="H432" s="64"/>
      <c r="I432" s="64"/>
      <c r="J432" s="64"/>
      <c r="K432" s="64"/>
      <c r="L432" s="45"/>
      <c r="M432" s="43"/>
      <c r="N432" s="71">
        <f>ROW()</f>
        <v>432</v>
      </c>
      <c r="O432" s="71" t="str">
        <f>IF(ISNUMBER(SEARCH(Invoice!$Q$14,C432)),N432,"")</f>
        <v/>
      </c>
      <c r="P432" s="74" t="str">
        <f>IFERROR(SMALL(O432:O899,ROWS($O$2:O432)),"")</f>
        <v/>
      </c>
      <c r="Q432" s="43"/>
      <c r="R432" s="43"/>
    </row>
    <row r="433" spans="1:18" x14ac:dyDescent="0.3">
      <c r="A433" s="39"/>
      <c r="B433" s="40"/>
      <c r="C433" s="40"/>
      <c r="D433" s="40"/>
      <c r="E433" s="40"/>
      <c r="F433" s="40"/>
      <c r="G433" s="40"/>
      <c r="H433" s="63"/>
      <c r="I433" s="63"/>
      <c r="J433" s="63"/>
      <c r="K433" s="63"/>
      <c r="L433" s="40"/>
      <c r="N433" s="71">
        <f>ROW()</f>
        <v>433</v>
      </c>
      <c r="O433" s="71" t="str">
        <f>IF(ISNUMBER(SEARCH(Invoice!$Q$14,C433)),N433,"")</f>
        <v/>
      </c>
      <c r="P433" s="74" t="str">
        <f>IFERROR(SMALL(O433:O900,ROWS($O$2:O433)),"")</f>
        <v/>
      </c>
    </row>
    <row r="434" spans="1:18" x14ac:dyDescent="0.3">
      <c r="A434" s="44"/>
      <c r="B434" s="45"/>
      <c r="C434" s="45"/>
      <c r="D434" s="45"/>
      <c r="E434" s="45"/>
      <c r="F434" s="45"/>
      <c r="G434" s="45"/>
      <c r="H434" s="64"/>
      <c r="I434" s="64"/>
      <c r="J434" s="64"/>
      <c r="K434" s="64"/>
      <c r="L434" s="45"/>
      <c r="M434" s="43"/>
      <c r="N434" s="71">
        <f>ROW()</f>
        <v>434</v>
      </c>
      <c r="O434" s="71" t="str">
        <f>IF(ISNUMBER(SEARCH(Invoice!$Q$14,C434)),N434,"")</f>
        <v/>
      </c>
      <c r="P434" s="74" t="str">
        <f>IFERROR(SMALL(O434:O901,ROWS($O$2:O434)),"")</f>
        <v/>
      </c>
      <c r="Q434" s="43"/>
      <c r="R434" s="43"/>
    </row>
    <row r="435" spans="1:18" x14ac:dyDescent="0.3">
      <c r="A435" s="39"/>
      <c r="B435" s="40"/>
      <c r="C435" s="40"/>
      <c r="D435" s="40"/>
      <c r="E435" s="40"/>
      <c r="F435" s="40"/>
      <c r="G435" s="40"/>
      <c r="H435" s="63"/>
      <c r="I435" s="63"/>
      <c r="J435" s="63"/>
      <c r="K435" s="63"/>
      <c r="L435" s="40"/>
      <c r="N435" s="71">
        <f>ROW()</f>
        <v>435</v>
      </c>
      <c r="O435" s="71" t="str">
        <f>IF(ISNUMBER(SEARCH(Invoice!$Q$14,C435)),N435,"")</f>
        <v/>
      </c>
      <c r="P435" s="74" t="str">
        <f>IFERROR(SMALL(O435:O902,ROWS($O$2:O435)),"")</f>
        <v/>
      </c>
    </row>
    <row r="436" spans="1:18" x14ac:dyDescent="0.3">
      <c r="A436" s="44"/>
      <c r="B436" s="45"/>
      <c r="C436" s="45"/>
      <c r="D436" s="45"/>
      <c r="E436" s="45"/>
      <c r="F436" s="45"/>
      <c r="G436" s="45"/>
      <c r="H436" s="64"/>
      <c r="I436" s="64"/>
      <c r="J436" s="64"/>
      <c r="K436" s="64"/>
      <c r="L436" s="45"/>
      <c r="M436" s="43"/>
      <c r="N436" s="71">
        <f>ROW()</f>
        <v>436</v>
      </c>
      <c r="O436" s="71" t="str">
        <f>IF(ISNUMBER(SEARCH(Invoice!$Q$14,C436)),N436,"")</f>
        <v/>
      </c>
      <c r="P436" s="74" t="str">
        <f>IFERROR(SMALL(O436:O903,ROWS($O$2:O436)),"")</f>
        <v/>
      </c>
      <c r="Q436" s="43"/>
      <c r="R436" s="43"/>
    </row>
    <row r="437" spans="1:18" x14ac:dyDescent="0.3">
      <c r="A437" s="39"/>
      <c r="B437" s="40"/>
      <c r="C437" s="40"/>
      <c r="D437" s="40"/>
      <c r="E437" s="40"/>
      <c r="F437" s="40"/>
      <c r="G437" s="40"/>
      <c r="H437" s="63"/>
      <c r="I437" s="63"/>
      <c r="J437" s="63"/>
      <c r="K437" s="63"/>
      <c r="L437" s="40"/>
      <c r="N437" s="71">
        <f>ROW()</f>
        <v>437</v>
      </c>
      <c r="O437" s="71" t="str">
        <f>IF(ISNUMBER(SEARCH(Invoice!$Q$14,C437)),N437,"")</f>
        <v/>
      </c>
      <c r="P437" s="74" t="str">
        <f>IFERROR(SMALL(O437:O904,ROWS($O$2:O437)),"")</f>
        <v/>
      </c>
    </row>
    <row r="438" spans="1:18" x14ac:dyDescent="0.3">
      <c r="A438" s="44"/>
      <c r="B438" s="45"/>
      <c r="C438" s="45"/>
      <c r="D438" s="45"/>
      <c r="E438" s="45"/>
      <c r="F438" s="45"/>
      <c r="G438" s="45"/>
      <c r="H438" s="64"/>
      <c r="I438" s="64"/>
      <c r="J438" s="64"/>
      <c r="K438" s="64"/>
      <c r="L438" s="45"/>
      <c r="M438" s="43"/>
      <c r="N438" s="71">
        <f>ROW()</f>
        <v>438</v>
      </c>
      <c r="O438" s="71" t="str">
        <f>IF(ISNUMBER(SEARCH(Invoice!$Q$14,C438)),N438,"")</f>
        <v/>
      </c>
      <c r="P438" s="74" t="str">
        <f>IFERROR(SMALL(O438:O905,ROWS($O$2:O438)),"")</f>
        <v/>
      </c>
      <c r="Q438" s="43"/>
      <c r="R438" s="43"/>
    </row>
    <row r="439" spans="1:18" x14ac:dyDescent="0.3">
      <c r="A439" s="39"/>
      <c r="B439" s="40"/>
      <c r="C439" s="40"/>
      <c r="D439" s="40"/>
      <c r="E439" s="40"/>
      <c r="F439" s="40"/>
      <c r="G439" s="40"/>
      <c r="H439" s="63"/>
      <c r="I439" s="63"/>
      <c r="J439" s="63"/>
      <c r="K439" s="63"/>
      <c r="L439" s="40"/>
      <c r="N439" s="71">
        <f>ROW()</f>
        <v>439</v>
      </c>
      <c r="O439" s="71" t="str">
        <f>IF(ISNUMBER(SEARCH(Invoice!$Q$14,C439)),N439,"")</f>
        <v/>
      </c>
      <c r="P439" s="74" t="str">
        <f>IFERROR(SMALL(O439:O906,ROWS($O$2:O439)),"")</f>
        <v/>
      </c>
    </row>
    <row r="440" spans="1:18" x14ac:dyDescent="0.3">
      <c r="A440" s="44"/>
      <c r="B440" s="45"/>
      <c r="C440" s="45"/>
      <c r="D440" s="45"/>
      <c r="E440" s="45"/>
      <c r="F440" s="45"/>
      <c r="G440" s="45"/>
      <c r="H440" s="64"/>
      <c r="I440" s="64"/>
      <c r="J440" s="64"/>
      <c r="K440" s="64"/>
      <c r="L440" s="45"/>
      <c r="M440" s="43"/>
      <c r="N440" s="71">
        <f>ROW()</f>
        <v>440</v>
      </c>
      <c r="O440" s="71" t="str">
        <f>IF(ISNUMBER(SEARCH(Invoice!$Q$14,C440)),N440,"")</f>
        <v/>
      </c>
      <c r="P440" s="74" t="str">
        <f>IFERROR(SMALL(O440:O907,ROWS($O$2:O440)),"")</f>
        <v/>
      </c>
      <c r="Q440" s="43"/>
      <c r="R440" s="43"/>
    </row>
    <row r="441" spans="1:18" x14ac:dyDescent="0.3">
      <c r="A441" s="39"/>
      <c r="B441" s="40"/>
      <c r="C441" s="40"/>
      <c r="D441" s="40"/>
      <c r="E441" s="40"/>
      <c r="F441" s="40"/>
      <c r="G441" s="40"/>
      <c r="H441" s="63"/>
      <c r="I441" s="63"/>
      <c r="J441" s="63"/>
      <c r="K441" s="63"/>
      <c r="L441" s="40"/>
      <c r="N441" s="71">
        <f>ROW()</f>
        <v>441</v>
      </c>
      <c r="O441" s="71" t="str">
        <f>IF(ISNUMBER(SEARCH(Invoice!$Q$14,C441)),N441,"")</f>
        <v/>
      </c>
      <c r="P441" s="74" t="str">
        <f>IFERROR(SMALL(O441:O908,ROWS($O$2:O441)),"")</f>
        <v/>
      </c>
    </row>
    <row r="442" spans="1:18" x14ac:dyDescent="0.3">
      <c r="A442" s="44"/>
      <c r="B442" s="45"/>
      <c r="C442" s="45"/>
      <c r="D442" s="45"/>
      <c r="E442" s="45"/>
      <c r="F442" s="45"/>
      <c r="G442" s="45"/>
      <c r="H442" s="64"/>
      <c r="I442" s="64"/>
      <c r="J442" s="64"/>
      <c r="K442" s="64"/>
      <c r="L442" s="45"/>
      <c r="M442" s="43"/>
      <c r="N442" s="71">
        <f>ROW()</f>
        <v>442</v>
      </c>
      <c r="O442" s="71" t="str">
        <f>IF(ISNUMBER(SEARCH(Invoice!$Q$14,C442)),N442,"")</f>
        <v/>
      </c>
      <c r="P442" s="74" t="str">
        <f>IFERROR(SMALL(O442:O909,ROWS($O$2:O442)),"")</f>
        <v/>
      </c>
      <c r="Q442" s="43"/>
      <c r="R442" s="43"/>
    </row>
    <row r="443" spans="1:18" x14ac:dyDescent="0.3">
      <c r="A443" s="39"/>
      <c r="B443" s="40"/>
      <c r="C443" s="40"/>
      <c r="D443" s="40"/>
      <c r="E443" s="40"/>
      <c r="F443" s="40"/>
      <c r="G443" s="40"/>
      <c r="H443" s="63"/>
      <c r="I443" s="63"/>
      <c r="J443" s="63"/>
      <c r="K443" s="63"/>
      <c r="L443" s="40"/>
      <c r="N443" s="71">
        <f>ROW()</f>
        <v>443</v>
      </c>
      <c r="O443" s="71" t="str">
        <f>IF(ISNUMBER(SEARCH(Invoice!$Q$14,C443)),N443,"")</f>
        <v/>
      </c>
      <c r="P443" s="74" t="str">
        <f>IFERROR(SMALL(O443:O910,ROWS($O$2:O443)),"")</f>
        <v/>
      </c>
    </row>
    <row r="444" spans="1:18" x14ac:dyDescent="0.3">
      <c r="A444" s="44"/>
      <c r="B444" s="45"/>
      <c r="C444" s="45"/>
      <c r="D444" s="45"/>
      <c r="E444" s="45"/>
      <c r="F444" s="45"/>
      <c r="G444" s="45"/>
      <c r="H444" s="64"/>
      <c r="I444" s="64"/>
      <c r="J444" s="64"/>
      <c r="K444" s="64"/>
      <c r="L444" s="45"/>
      <c r="M444" s="43"/>
      <c r="N444" s="71">
        <f>ROW()</f>
        <v>444</v>
      </c>
      <c r="O444" s="71" t="str">
        <f>IF(ISNUMBER(SEARCH(Invoice!$Q$14,C444)),N444,"")</f>
        <v/>
      </c>
      <c r="P444" s="74" t="str">
        <f>IFERROR(SMALL(O444:O911,ROWS($O$2:O444)),"")</f>
        <v/>
      </c>
      <c r="Q444" s="43"/>
      <c r="R444" s="43"/>
    </row>
    <row r="445" spans="1:18" x14ac:dyDescent="0.3">
      <c r="A445" s="39"/>
      <c r="B445" s="40"/>
      <c r="C445" s="40"/>
      <c r="D445" s="40"/>
      <c r="E445" s="40"/>
      <c r="F445" s="40"/>
      <c r="G445" s="40"/>
      <c r="H445" s="63"/>
      <c r="I445" s="63"/>
      <c r="J445" s="63"/>
      <c r="K445" s="63"/>
      <c r="L445" s="40"/>
      <c r="N445" s="71">
        <f>ROW()</f>
        <v>445</v>
      </c>
      <c r="O445" s="71" t="str">
        <f>IF(ISNUMBER(SEARCH(Invoice!$Q$14,C445)),N445,"")</f>
        <v/>
      </c>
      <c r="P445" s="74" t="str">
        <f>IFERROR(SMALL(O445:O912,ROWS($O$2:O445)),"")</f>
        <v/>
      </c>
    </row>
    <row r="446" spans="1:18" x14ac:dyDescent="0.3">
      <c r="A446" s="44"/>
      <c r="B446" s="45"/>
      <c r="C446" s="45"/>
      <c r="D446" s="45"/>
      <c r="E446" s="45"/>
      <c r="F446" s="45"/>
      <c r="G446" s="45"/>
      <c r="H446" s="64"/>
      <c r="I446" s="64"/>
      <c r="J446" s="64"/>
      <c r="K446" s="64"/>
      <c r="L446" s="45"/>
      <c r="M446" s="43"/>
      <c r="N446" s="71">
        <f>ROW()</f>
        <v>446</v>
      </c>
      <c r="O446" s="71" t="str">
        <f>IF(ISNUMBER(SEARCH(Invoice!$Q$14,C446)),N446,"")</f>
        <v/>
      </c>
      <c r="P446" s="74" t="str">
        <f>IFERROR(SMALL(O446:O913,ROWS($O$2:O446)),"")</f>
        <v/>
      </c>
      <c r="Q446" s="43"/>
      <c r="R446" s="43"/>
    </row>
    <row r="447" spans="1:18" x14ac:dyDescent="0.3">
      <c r="A447" s="39"/>
      <c r="B447" s="40"/>
      <c r="C447" s="40"/>
      <c r="D447" s="40"/>
      <c r="E447" s="40"/>
      <c r="F447" s="40"/>
      <c r="G447" s="40"/>
      <c r="H447" s="63"/>
      <c r="I447" s="63"/>
      <c r="J447" s="63"/>
      <c r="K447" s="63"/>
      <c r="L447" s="40"/>
      <c r="N447" s="71">
        <f>ROW()</f>
        <v>447</v>
      </c>
      <c r="O447" s="71" t="str">
        <f>IF(ISNUMBER(SEARCH(Invoice!$Q$14,C447)),N447,"")</f>
        <v/>
      </c>
      <c r="P447" s="74" t="str">
        <f>IFERROR(SMALL(O447:O914,ROWS($O$2:O447)),"")</f>
        <v/>
      </c>
    </row>
    <row r="448" spans="1:18" x14ac:dyDescent="0.3">
      <c r="A448" s="44"/>
      <c r="B448" s="45"/>
      <c r="C448" s="45"/>
      <c r="D448" s="45"/>
      <c r="E448" s="45"/>
      <c r="F448" s="45"/>
      <c r="G448" s="45"/>
      <c r="H448" s="64"/>
      <c r="I448" s="64"/>
      <c r="J448" s="64"/>
      <c r="K448" s="64"/>
      <c r="L448" s="45"/>
      <c r="M448" s="43"/>
      <c r="N448" s="71">
        <f>ROW()</f>
        <v>448</v>
      </c>
      <c r="O448" s="71" t="str">
        <f>IF(ISNUMBER(SEARCH(Invoice!$Q$14,C448)),N448,"")</f>
        <v/>
      </c>
      <c r="P448" s="74" t="str">
        <f>IFERROR(SMALL(O448:O915,ROWS($O$2:O448)),"")</f>
        <v/>
      </c>
      <c r="Q448" s="43"/>
      <c r="R448" s="43"/>
    </row>
    <row r="449" spans="1:18" x14ac:dyDescent="0.3">
      <c r="A449" s="39"/>
      <c r="B449" s="40"/>
      <c r="C449" s="40"/>
      <c r="D449" s="40"/>
      <c r="E449" s="40"/>
      <c r="F449" s="40"/>
      <c r="G449" s="40"/>
      <c r="H449" s="63"/>
      <c r="I449" s="63"/>
      <c r="J449" s="63"/>
      <c r="K449" s="63"/>
      <c r="L449" s="40"/>
      <c r="N449" s="71">
        <f>ROW()</f>
        <v>449</v>
      </c>
      <c r="O449" s="71" t="str">
        <f>IF(ISNUMBER(SEARCH(Invoice!$Q$14,C449)),N449,"")</f>
        <v/>
      </c>
      <c r="P449" s="74" t="str">
        <f>IFERROR(SMALL(O449:O916,ROWS($O$2:O449)),"")</f>
        <v/>
      </c>
    </row>
    <row r="450" spans="1:18" x14ac:dyDescent="0.3">
      <c r="A450" s="44"/>
      <c r="B450" s="45"/>
      <c r="C450" s="45"/>
      <c r="D450" s="45"/>
      <c r="E450" s="45"/>
      <c r="F450" s="45"/>
      <c r="G450" s="45"/>
      <c r="H450" s="64"/>
      <c r="I450" s="64"/>
      <c r="J450" s="64"/>
      <c r="K450" s="64"/>
      <c r="L450" s="45"/>
      <c r="M450" s="43"/>
      <c r="N450" s="71">
        <f>ROW()</f>
        <v>450</v>
      </c>
      <c r="O450" s="71" t="str">
        <f>IF(ISNUMBER(SEARCH(Invoice!$Q$14,C450)),N450,"")</f>
        <v/>
      </c>
      <c r="P450" s="74" t="str">
        <f>IFERROR(SMALL(O450:O917,ROWS($O$2:O450)),"")</f>
        <v/>
      </c>
      <c r="Q450" s="43"/>
      <c r="R450" s="43"/>
    </row>
    <row r="451" spans="1:18" x14ac:dyDescent="0.3">
      <c r="A451" s="39"/>
      <c r="B451" s="40"/>
      <c r="C451" s="40"/>
      <c r="D451" s="40"/>
      <c r="E451" s="40"/>
      <c r="F451" s="40"/>
      <c r="G451" s="40"/>
      <c r="H451" s="63"/>
      <c r="I451" s="63"/>
      <c r="J451" s="63"/>
      <c r="K451" s="63"/>
      <c r="L451" s="40"/>
      <c r="N451" s="71">
        <f>ROW()</f>
        <v>451</v>
      </c>
      <c r="O451" s="71" t="str">
        <f>IF(ISNUMBER(SEARCH(Invoice!$Q$14,C451)),N451,"")</f>
        <v/>
      </c>
      <c r="P451" s="74" t="str">
        <f>IFERROR(SMALL(O451:O918,ROWS($O$2:O451)),"")</f>
        <v/>
      </c>
    </row>
    <row r="452" spans="1:18" x14ac:dyDescent="0.3">
      <c r="A452" s="44"/>
      <c r="B452" s="45"/>
      <c r="C452" s="45"/>
      <c r="D452" s="45"/>
      <c r="E452" s="45"/>
      <c r="F452" s="45"/>
      <c r="G452" s="45"/>
      <c r="H452" s="64"/>
      <c r="I452" s="64"/>
      <c r="J452" s="64"/>
      <c r="K452" s="64"/>
      <c r="L452" s="45"/>
      <c r="M452" s="43"/>
      <c r="N452" s="71">
        <f>ROW()</f>
        <v>452</v>
      </c>
      <c r="O452" s="71" t="str">
        <f>IF(ISNUMBER(SEARCH(Invoice!$Q$14,C452)),N452,"")</f>
        <v/>
      </c>
      <c r="P452" s="74" t="str">
        <f>IFERROR(SMALL(O452:O919,ROWS($O$2:O452)),"")</f>
        <v/>
      </c>
      <c r="Q452" s="43"/>
      <c r="R452" s="43"/>
    </row>
    <row r="453" spans="1:18" x14ac:dyDescent="0.3">
      <c r="A453" s="39"/>
      <c r="B453" s="40"/>
      <c r="C453" s="40"/>
      <c r="D453" s="40"/>
      <c r="E453" s="40"/>
      <c r="F453" s="40"/>
      <c r="G453" s="40"/>
      <c r="H453" s="63"/>
      <c r="I453" s="63"/>
      <c r="J453" s="63"/>
      <c r="K453" s="63"/>
      <c r="L453" s="40"/>
      <c r="N453" s="71">
        <f>ROW()</f>
        <v>453</v>
      </c>
      <c r="O453" s="71" t="str">
        <f>IF(ISNUMBER(SEARCH(Invoice!$Q$14,C453)),N453,"")</f>
        <v/>
      </c>
      <c r="P453" s="74" t="str">
        <f>IFERROR(SMALL(O453:O920,ROWS($O$2:O453)),"")</f>
        <v/>
      </c>
    </row>
    <row r="454" spans="1:18" x14ac:dyDescent="0.3">
      <c r="A454" s="44"/>
      <c r="B454" s="45"/>
      <c r="C454" s="45"/>
      <c r="D454" s="45"/>
      <c r="E454" s="45"/>
      <c r="F454" s="45"/>
      <c r="G454" s="45"/>
      <c r="H454" s="64"/>
      <c r="I454" s="64"/>
      <c r="J454" s="64"/>
      <c r="K454" s="64"/>
      <c r="L454" s="45"/>
      <c r="M454" s="43"/>
      <c r="N454" s="71">
        <f>ROW()</f>
        <v>454</v>
      </c>
      <c r="O454" s="71" t="str">
        <f>IF(ISNUMBER(SEARCH(Invoice!$Q$14,C454)),N454,"")</f>
        <v/>
      </c>
      <c r="P454" s="74" t="str">
        <f>IFERROR(SMALL(O454:O921,ROWS($O$2:O454)),"")</f>
        <v/>
      </c>
      <c r="Q454" s="43"/>
      <c r="R454" s="43"/>
    </row>
    <row r="455" spans="1:18" x14ac:dyDescent="0.3">
      <c r="A455" s="39"/>
      <c r="B455" s="40"/>
      <c r="C455" s="40"/>
      <c r="D455" s="40"/>
      <c r="E455" s="40"/>
      <c r="F455" s="40"/>
      <c r="G455" s="40"/>
      <c r="H455" s="63"/>
      <c r="I455" s="63"/>
      <c r="J455" s="63"/>
      <c r="K455" s="63"/>
      <c r="L455" s="40"/>
      <c r="N455" s="71">
        <f>ROW()</f>
        <v>455</v>
      </c>
      <c r="O455" s="71" t="str">
        <f>IF(ISNUMBER(SEARCH(Invoice!$Q$14,C455)),N455,"")</f>
        <v/>
      </c>
      <c r="P455" s="74" t="str">
        <f>IFERROR(SMALL(O455:O922,ROWS($O$2:O455)),"")</f>
        <v/>
      </c>
    </row>
    <row r="456" spans="1:18" x14ac:dyDescent="0.3">
      <c r="A456" s="44"/>
      <c r="B456" s="45"/>
      <c r="C456" s="45"/>
      <c r="D456" s="45"/>
      <c r="E456" s="45"/>
      <c r="F456" s="45"/>
      <c r="G456" s="45"/>
      <c r="H456" s="64"/>
      <c r="I456" s="64"/>
      <c r="J456" s="64"/>
      <c r="K456" s="64"/>
      <c r="L456" s="45"/>
      <c r="M456" s="43"/>
      <c r="N456" s="71">
        <f>ROW()</f>
        <v>456</v>
      </c>
      <c r="O456" s="71" t="str">
        <f>IF(ISNUMBER(SEARCH(Invoice!$Q$14,C456)),N456,"")</f>
        <v/>
      </c>
      <c r="P456" s="74" t="str">
        <f>IFERROR(SMALL(O456:O923,ROWS($O$2:O456)),"")</f>
        <v/>
      </c>
      <c r="Q456" s="43"/>
      <c r="R456" s="43"/>
    </row>
    <row r="457" spans="1:18" x14ac:dyDescent="0.3">
      <c r="A457" s="39"/>
      <c r="B457" s="40"/>
      <c r="C457" s="40"/>
      <c r="D457" s="40"/>
      <c r="E457" s="40"/>
      <c r="F457" s="40"/>
      <c r="G457" s="40"/>
      <c r="H457" s="63"/>
      <c r="I457" s="63"/>
      <c r="J457" s="63"/>
      <c r="K457" s="63"/>
      <c r="L457" s="40"/>
      <c r="N457" s="71">
        <f>ROW()</f>
        <v>457</v>
      </c>
      <c r="O457" s="71" t="str">
        <f>IF(ISNUMBER(SEARCH(Invoice!$Q$14,C457)),N457,"")</f>
        <v/>
      </c>
      <c r="P457" s="74" t="str">
        <f>IFERROR(SMALL(O457:O924,ROWS($O$2:O457)),"")</f>
        <v/>
      </c>
    </row>
    <row r="458" spans="1:18" x14ac:dyDescent="0.3">
      <c r="A458" s="44"/>
      <c r="B458" s="45"/>
      <c r="C458" s="45"/>
      <c r="D458" s="45"/>
      <c r="E458" s="45"/>
      <c r="F458" s="45"/>
      <c r="G458" s="45"/>
      <c r="H458" s="64"/>
      <c r="I458" s="64"/>
      <c r="J458" s="64"/>
      <c r="K458" s="64"/>
      <c r="L458" s="45"/>
      <c r="M458" s="43"/>
      <c r="N458" s="71">
        <f>ROW()</f>
        <v>458</v>
      </c>
      <c r="O458" s="71" t="str">
        <f>IF(ISNUMBER(SEARCH(Invoice!$Q$14,C458)),N458,"")</f>
        <v/>
      </c>
      <c r="P458" s="74" t="str">
        <f>IFERROR(SMALL(O458:O925,ROWS($O$2:O458)),"")</f>
        <v/>
      </c>
      <c r="Q458" s="43"/>
      <c r="R458" s="43"/>
    </row>
    <row r="459" spans="1:18" x14ac:dyDescent="0.3">
      <c r="A459" s="39"/>
      <c r="B459" s="40"/>
      <c r="C459" s="40"/>
      <c r="D459" s="40"/>
      <c r="E459" s="40"/>
      <c r="F459" s="40"/>
      <c r="G459" s="40"/>
      <c r="H459" s="63"/>
      <c r="I459" s="63"/>
      <c r="J459" s="63"/>
      <c r="K459" s="63"/>
      <c r="L459" s="40"/>
      <c r="N459" s="71">
        <f>ROW()</f>
        <v>459</v>
      </c>
      <c r="O459" s="71" t="str">
        <f>IF(ISNUMBER(SEARCH(Invoice!$Q$14,C459)),N459,"")</f>
        <v/>
      </c>
      <c r="P459" s="74" t="str">
        <f>IFERROR(SMALL(O459:O926,ROWS($O$2:O459)),"")</f>
        <v/>
      </c>
    </row>
    <row r="460" spans="1:18" x14ac:dyDescent="0.3">
      <c r="A460" s="44"/>
      <c r="B460" s="45"/>
      <c r="C460" s="45"/>
      <c r="D460" s="45"/>
      <c r="E460" s="45"/>
      <c r="F460" s="45"/>
      <c r="G460" s="45"/>
      <c r="H460" s="64"/>
      <c r="I460" s="64"/>
      <c r="J460" s="64"/>
      <c r="K460" s="64"/>
      <c r="L460" s="45"/>
      <c r="M460" s="43"/>
      <c r="N460" s="71">
        <f>ROW()</f>
        <v>460</v>
      </c>
      <c r="O460" s="71" t="str">
        <f>IF(ISNUMBER(SEARCH(Invoice!$Q$14,C460)),N460,"")</f>
        <v/>
      </c>
      <c r="P460" s="74" t="str">
        <f>IFERROR(SMALL(O460:O927,ROWS($O$2:O460)),"")</f>
        <v/>
      </c>
      <c r="Q460" s="43"/>
      <c r="R460" s="43"/>
    </row>
    <row r="461" spans="1:18" x14ac:dyDescent="0.3">
      <c r="A461" s="39"/>
      <c r="B461" s="40"/>
      <c r="C461" s="40"/>
      <c r="D461" s="40"/>
      <c r="E461" s="40"/>
      <c r="F461" s="40"/>
      <c r="G461" s="40"/>
      <c r="H461" s="63"/>
      <c r="I461" s="63"/>
      <c r="J461" s="63"/>
      <c r="K461" s="63"/>
      <c r="L461" s="40"/>
      <c r="N461" s="71">
        <f>ROW()</f>
        <v>461</v>
      </c>
      <c r="O461" s="71" t="str">
        <f>IF(ISNUMBER(SEARCH(Invoice!$Q$14,C461)),N461,"")</f>
        <v/>
      </c>
      <c r="P461" s="74" t="str">
        <f>IFERROR(SMALL(O461:O928,ROWS($O$2:O461)),"")</f>
        <v/>
      </c>
    </row>
    <row r="462" spans="1:18" x14ac:dyDescent="0.3">
      <c r="A462" s="44"/>
      <c r="B462" s="45"/>
      <c r="C462" s="45"/>
      <c r="D462" s="45"/>
      <c r="E462" s="45"/>
      <c r="F462" s="45"/>
      <c r="G462" s="45"/>
      <c r="H462" s="64"/>
      <c r="I462" s="64"/>
      <c r="J462" s="64"/>
      <c r="K462" s="64"/>
      <c r="L462" s="45"/>
      <c r="M462" s="43"/>
      <c r="N462" s="71">
        <f>ROW()</f>
        <v>462</v>
      </c>
      <c r="O462" s="71" t="str">
        <f>IF(ISNUMBER(SEARCH(Invoice!$Q$14,C462)),N462,"")</f>
        <v/>
      </c>
      <c r="P462" s="74" t="str">
        <f>IFERROR(SMALL(O462:O929,ROWS($O$2:O462)),"")</f>
        <v/>
      </c>
      <c r="Q462" s="43"/>
      <c r="R462" s="43"/>
    </row>
    <row r="463" spans="1:18" x14ac:dyDescent="0.3">
      <c r="A463" s="39"/>
      <c r="B463" s="40"/>
      <c r="C463" s="40"/>
      <c r="D463" s="40"/>
      <c r="E463" s="40"/>
      <c r="F463" s="40"/>
      <c r="G463" s="40"/>
      <c r="H463" s="63"/>
      <c r="I463" s="63"/>
      <c r="J463" s="63"/>
      <c r="K463" s="63"/>
      <c r="L463" s="40"/>
      <c r="N463" s="71">
        <f>ROW()</f>
        <v>463</v>
      </c>
      <c r="O463" s="71" t="str">
        <f>IF(ISNUMBER(SEARCH(Invoice!$Q$14,C463)),N463,"")</f>
        <v/>
      </c>
      <c r="P463" s="74" t="str">
        <f>IFERROR(SMALL(O463:O930,ROWS($O$2:O463)),"")</f>
        <v/>
      </c>
    </row>
    <row r="464" spans="1:18" x14ac:dyDescent="0.3">
      <c r="A464" s="44"/>
      <c r="B464" s="45"/>
      <c r="C464" s="45"/>
      <c r="D464" s="45"/>
      <c r="E464" s="45"/>
      <c r="F464" s="45"/>
      <c r="G464" s="45"/>
      <c r="H464" s="64"/>
      <c r="I464" s="64"/>
      <c r="J464" s="64"/>
      <c r="K464" s="64"/>
      <c r="L464" s="45"/>
      <c r="M464" s="43"/>
      <c r="N464" s="71">
        <f>ROW()</f>
        <v>464</v>
      </c>
      <c r="O464" s="71" t="str">
        <f>IF(ISNUMBER(SEARCH(Invoice!$Q$14,C464)),N464,"")</f>
        <v/>
      </c>
      <c r="P464" s="74" t="str">
        <f>IFERROR(SMALL(O464:O931,ROWS($O$2:O464)),"")</f>
        <v/>
      </c>
      <c r="Q464" s="43"/>
      <c r="R464" s="43"/>
    </row>
    <row r="465" spans="1:18" x14ac:dyDescent="0.3">
      <c r="A465" s="39"/>
      <c r="B465" s="40"/>
      <c r="C465" s="40"/>
      <c r="D465" s="40"/>
      <c r="E465" s="40"/>
      <c r="F465" s="40"/>
      <c r="G465" s="40"/>
      <c r="H465" s="63"/>
      <c r="I465" s="63"/>
      <c r="J465" s="63"/>
      <c r="K465" s="63"/>
      <c r="L465" s="40"/>
      <c r="N465" s="71">
        <f>ROW()</f>
        <v>465</v>
      </c>
      <c r="O465" s="71" t="str">
        <f>IF(ISNUMBER(SEARCH(Invoice!$Q$14,C465)),N465,"")</f>
        <v/>
      </c>
      <c r="P465" s="74" t="str">
        <f>IFERROR(SMALL(O465:O932,ROWS($O$2:O465)),"")</f>
        <v/>
      </c>
    </row>
    <row r="466" spans="1:18" x14ac:dyDescent="0.3">
      <c r="A466" s="44"/>
      <c r="B466" s="45"/>
      <c r="C466" s="45"/>
      <c r="D466" s="45"/>
      <c r="E466" s="45"/>
      <c r="F466" s="45"/>
      <c r="G466" s="45"/>
      <c r="H466" s="64"/>
      <c r="I466" s="64"/>
      <c r="J466" s="64"/>
      <c r="K466" s="64"/>
      <c r="L466" s="45"/>
      <c r="M466" s="43"/>
      <c r="N466" s="71">
        <f>ROW()</f>
        <v>466</v>
      </c>
      <c r="O466" s="71" t="str">
        <f>IF(ISNUMBER(SEARCH(Invoice!$Q$14,C466)),N466,"")</f>
        <v/>
      </c>
      <c r="P466" s="74" t="str">
        <f>IFERROR(SMALL(O466:O933,ROWS($O$2:O466)),"")</f>
        <v/>
      </c>
      <c r="Q466" s="43"/>
      <c r="R466" s="43"/>
    </row>
    <row r="467" spans="1:18" x14ac:dyDescent="0.3">
      <c r="A467" s="39"/>
      <c r="B467" s="40"/>
      <c r="C467" s="40"/>
      <c r="D467" s="40"/>
      <c r="E467" s="40"/>
      <c r="F467" s="40"/>
      <c r="G467" s="40"/>
      <c r="H467" s="63"/>
      <c r="I467" s="63"/>
      <c r="J467" s="63"/>
      <c r="K467" s="63"/>
      <c r="L467" s="40"/>
      <c r="N467" s="71">
        <f>ROW()</f>
        <v>467</v>
      </c>
      <c r="O467" s="71" t="str">
        <f>IF(ISNUMBER(SEARCH(Invoice!$Q$14,C467)),N467,"")</f>
        <v/>
      </c>
      <c r="P467" s="74" t="str">
        <f>IFERROR(SMALL(O467:O934,ROWS($O$2:O467)),"")</f>
        <v/>
      </c>
    </row>
    <row r="468" spans="1:18" x14ac:dyDescent="0.3">
      <c r="A468" s="44"/>
      <c r="B468" s="45"/>
      <c r="C468" s="45"/>
      <c r="D468" s="45"/>
      <c r="E468" s="45"/>
      <c r="F468" s="45"/>
      <c r="G468" s="45"/>
      <c r="H468" s="64"/>
      <c r="I468" s="64"/>
      <c r="J468" s="64"/>
      <c r="K468" s="64"/>
      <c r="L468" s="45"/>
      <c r="M468" s="43"/>
      <c r="N468" s="71">
        <f>ROW()</f>
        <v>468</v>
      </c>
      <c r="O468" s="71" t="str">
        <f>IF(ISNUMBER(SEARCH(Invoice!$Q$14,C468)),N468,"")</f>
        <v/>
      </c>
      <c r="P468" s="74" t="str">
        <f>IFERROR(SMALL(O468:O935,ROWS($O$2:O468)),"")</f>
        <v/>
      </c>
      <c r="Q468" s="43"/>
      <c r="R468" s="43"/>
    </row>
    <row r="469" spans="1:18" x14ac:dyDescent="0.3">
      <c r="A469" s="39"/>
      <c r="B469" s="40"/>
      <c r="C469" s="40"/>
      <c r="D469" s="40"/>
      <c r="E469" s="40"/>
      <c r="F469" s="40"/>
      <c r="G469" s="40"/>
      <c r="H469" s="63"/>
      <c r="I469" s="63"/>
      <c r="J469" s="63"/>
      <c r="K469" s="63"/>
      <c r="L469" s="40"/>
      <c r="N469" s="71">
        <f>ROW()</f>
        <v>469</v>
      </c>
      <c r="O469" s="71" t="str">
        <f>IF(ISNUMBER(SEARCH(Invoice!$Q$14,C469)),N469,"")</f>
        <v/>
      </c>
      <c r="P469" s="74" t="str">
        <f>IFERROR(SMALL(O469:O936,ROWS($O$2:O469)),"")</f>
        <v/>
      </c>
    </row>
    <row r="470" spans="1:18" x14ac:dyDescent="0.3">
      <c r="A470" s="44"/>
      <c r="B470" s="45"/>
      <c r="C470" s="45"/>
      <c r="D470" s="45"/>
      <c r="E470" s="45"/>
      <c r="F470" s="45"/>
      <c r="G470" s="45"/>
      <c r="H470" s="64"/>
      <c r="I470" s="64"/>
      <c r="J470" s="64"/>
      <c r="K470" s="64"/>
      <c r="L470" s="45"/>
      <c r="M470" s="43"/>
      <c r="Q470" s="43"/>
      <c r="R470" s="43"/>
    </row>
    <row r="471" spans="1:18" x14ac:dyDescent="0.3">
      <c r="A471" s="39"/>
      <c r="B471" s="40"/>
      <c r="C471" s="40"/>
      <c r="D471" s="40"/>
      <c r="E471" s="40"/>
      <c r="F471" s="40"/>
      <c r="G471" s="40"/>
      <c r="H471" s="63"/>
      <c r="I471" s="63"/>
      <c r="J471" s="63"/>
      <c r="K471" s="63"/>
      <c r="L471" s="40"/>
    </row>
    <row r="472" spans="1:18" x14ac:dyDescent="0.3">
      <c r="A472" s="44"/>
      <c r="B472" s="45"/>
      <c r="C472" s="45"/>
      <c r="D472" s="45"/>
      <c r="E472" s="45"/>
      <c r="F472" s="45"/>
      <c r="G472" s="45"/>
      <c r="H472" s="64"/>
      <c r="I472" s="64"/>
      <c r="J472" s="64"/>
      <c r="K472" s="64"/>
      <c r="L472" s="45"/>
      <c r="M472" s="43"/>
      <c r="Q472" s="43"/>
      <c r="R472" s="43"/>
    </row>
    <row r="473" spans="1:18" x14ac:dyDescent="0.3">
      <c r="A473" s="39"/>
      <c r="B473" s="40"/>
      <c r="C473" s="40"/>
      <c r="D473" s="40"/>
      <c r="E473" s="40"/>
      <c r="F473" s="40"/>
      <c r="G473" s="40"/>
      <c r="H473" s="63"/>
      <c r="I473" s="63"/>
      <c r="J473" s="63"/>
      <c r="K473" s="63"/>
      <c r="L473" s="40"/>
    </row>
    <row r="474" spans="1:18" x14ac:dyDescent="0.3">
      <c r="A474" s="44"/>
      <c r="B474" s="45"/>
      <c r="C474" s="45"/>
      <c r="D474" s="45"/>
      <c r="E474" s="45"/>
      <c r="F474" s="45"/>
      <c r="G474" s="45"/>
      <c r="H474" s="64"/>
      <c r="I474" s="64"/>
      <c r="J474" s="64"/>
      <c r="K474" s="64"/>
      <c r="L474" s="45"/>
      <c r="M474" s="43"/>
      <c r="Q474" s="43"/>
      <c r="R474" s="43"/>
    </row>
    <row r="475" spans="1:18" x14ac:dyDescent="0.3">
      <c r="A475" s="39"/>
      <c r="B475" s="40"/>
      <c r="C475" s="40"/>
      <c r="D475" s="40"/>
      <c r="E475" s="40"/>
      <c r="F475" s="40"/>
      <c r="G475" s="40"/>
      <c r="H475" s="63"/>
      <c r="I475" s="63"/>
      <c r="J475" s="63"/>
      <c r="K475" s="63"/>
      <c r="L475" s="40"/>
    </row>
    <row r="476" spans="1:18" x14ac:dyDescent="0.3">
      <c r="A476" s="44"/>
      <c r="B476" s="45"/>
      <c r="C476" s="45"/>
      <c r="D476" s="45"/>
      <c r="E476" s="45"/>
      <c r="F476" s="45"/>
      <c r="G476" s="45"/>
      <c r="H476" s="64"/>
      <c r="I476" s="64"/>
      <c r="J476" s="64"/>
      <c r="K476" s="64"/>
      <c r="L476" s="45"/>
      <c r="M476" s="43"/>
      <c r="Q476" s="43"/>
      <c r="R476" s="43"/>
    </row>
    <row r="477" spans="1:18" x14ac:dyDescent="0.3">
      <c r="A477" s="39"/>
      <c r="B477" s="40"/>
      <c r="C477" s="40"/>
      <c r="D477" s="40"/>
      <c r="E477" s="40"/>
      <c r="F477" s="40"/>
      <c r="G477" s="40"/>
      <c r="H477" s="63"/>
      <c r="I477" s="63"/>
      <c r="J477" s="63"/>
      <c r="K477" s="63"/>
      <c r="L477" s="40"/>
    </row>
    <row r="478" spans="1:18" x14ac:dyDescent="0.3">
      <c r="A478" s="44"/>
      <c r="B478" s="45"/>
      <c r="C478" s="45"/>
      <c r="D478" s="45"/>
      <c r="E478" s="45"/>
      <c r="F478" s="45"/>
      <c r="G478" s="45"/>
      <c r="H478" s="64"/>
      <c r="I478" s="64"/>
      <c r="J478" s="64"/>
      <c r="K478" s="64"/>
      <c r="L478" s="45"/>
      <c r="M478" s="43"/>
      <c r="Q478" s="43"/>
      <c r="R478" s="43"/>
    </row>
    <row r="479" spans="1:18" x14ac:dyDescent="0.3">
      <c r="A479" s="39"/>
      <c r="B479" s="40"/>
      <c r="C479" s="40"/>
      <c r="D479" s="40"/>
      <c r="E479" s="40"/>
      <c r="F479" s="40"/>
      <c r="G479" s="40"/>
      <c r="H479" s="63"/>
      <c r="I479" s="63"/>
      <c r="J479" s="63"/>
      <c r="K479" s="63"/>
      <c r="L479" s="40"/>
    </row>
    <row r="480" spans="1:18" x14ac:dyDescent="0.3">
      <c r="A480" s="44"/>
      <c r="B480" s="45"/>
      <c r="C480" s="45"/>
      <c r="D480" s="45"/>
      <c r="E480" s="45"/>
      <c r="F480" s="45"/>
      <c r="G480" s="45"/>
      <c r="H480" s="64"/>
      <c r="I480" s="64"/>
      <c r="J480" s="64"/>
      <c r="K480" s="64"/>
      <c r="L480" s="45"/>
      <c r="M480" s="43"/>
      <c r="Q480" s="43"/>
      <c r="R480" s="4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0BAEC-7BA5-4D7C-A78E-0A21D0E7EEE1}">
  <sheetPr codeName="Sheet3"/>
  <dimension ref="A1:AP1055"/>
  <sheetViews>
    <sheetView zoomScale="70" zoomScaleNormal="70" workbookViewId="0">
      <selection activeCell="A5" sqref="A5"/>
    </sheetView>
  </sheetViews>
  <sheetFormatPr defaultRowHeight="14.4" x14ac:dyDescent="0.3"/>
  <cols>
    <col min="1" max="1" width="8.88671875" style="39"/>
    <col min="2" max="2" width="8.88671875" style="37"/>
    <col min="3" max="3" width="24" style="37" customWidth="1"/>
    <col min="4" max="4" width="11.77734375" style="37" customWidth="1"/>
    <col min="5" max="5" width="15.77734375" style="37" customWidth="1"/>
    <col min="6" max="6" width="12.6640625" style="37" customWidth="1"/>
    <col min="7" max="7" width="11.21875" style="37" customWidth="1"/>
    <col min="8" max="8" width="10.5546875" style="37" customWidth="1"/>
    <col min="9" max="9" width="12.88671875" style="37" customWidth="1"/>
    <col min="10" max="10" width="13.88671875" style="37" customWidth="1"/>
    <col min="11" max="11" width="14.21875" style="37" customWidth="1"/>
    <col min="12" max="12" width="17.5546875" style="39" customWidth="1"/>
    <col min="13" max="13" width="17.88671875" style="40" customWidth="1"/>
    <col min="14" max="23" width="8.88671875" style="37"/>
    <col min="24" max="24" width="4.77734375" style="37" customWidth="1"/>
    <col min="25" max="25" width="8.88671875" style="37"/>
    <col min="26" max="26" width="8.88671875" style="39"/>
    <col min="27" max="27" width="8.88671875" style="37"/>
    <col min="28" max="28" width="24" style="37" customWidth="1"/>
    <col min="29" max="29" width="11.77734375" style="37" customWidth="1"/>
    <col min="30" max="30" width="15.77734375" style="37" customWidth="1"/>
    <col min="31" max="31" width="12.6640625" style="37" customWidth="1"/>
    <col min="32" max="32" width="11.21875" style="37" customWidth="1"/>
    <col min="33" max="33" width="10.5546875" style="37" customWidth="1"/>
    <col min="34" max="34" width="12.88671875" style="37" customWidth="1"/>
    <col min="35" max="35" width="13.88671875" style="37" customWidth="1"/>
    <col min="36" max="36" width="14.21875" style="37" customWidth="1"/>
    <col min="37" max="37" width="17.5546875" style="39" customWidth="1"/>
    <col min="38" max="38" width="17.88671875" style="40" customWidth="1"/>
    <col min="39" max="16384" width="8.88671875" style="37"/>
  </cols>
  <sheetData>
    <row r="1" spans="1:42" s="38" customFormat="1" ht="37.799999999999997" customHeight="1" x14ac:dyDescent="0.3">
      <c r="A1" s="57" t="s">
        <v>49</v>
      </c>
      <c r="B1" s="58" t="s">
        <v>9</v>
      </c>
      <c r="C1" s="47" t="s">
        <v>10</v>
      </c>
      <c r="D1" s="48" t="s">
        <v>11</v>
      </c>
      <c r="E1" s="47" t="s">
        <v>12</v>
      </c>
      <c r="F1" s="47" t="s">
        <v>13</v>
      </c>
      <c r="G1" s="49" t="s">
        <v>14</v>
      </c>
      <c r="H1" s="49" t="s">
        <v>15</v>
      </c>
      <c r="I1" s="50" t="s">
        <v>18</v>
      </c>
      <c r="J1" s="49" t="s">
        <v>16</v>
      </c>
      <c r="K1" s="51" t="s">
        <v>17</v>
      </c>
      <c r="L1" s="38" t="s">
        <v>57</v>
      </c>
      <c r="M1" s="38" t="s">
        <v>58</v>
      </c>
      <c r="N1" s="52"/>
      <c r="Y1" s="38" t="s">
        <v>65</v>
      </c>
      <c r="Z1" s="57" t="s">
        <v>49</v>
      </c>
      <c r="AA1" s="58" t="s">
        <v>9</v>
      </c>
      <c r="AB1" s="47" t="s">
        <v>10</v>
      </c>
      <c r="AC1" s="48" t="s">
        <v>11</v>
      </c>
      <c r="AD1" s="47" t="s">
        <v>12</v>
      </c>
      <c r="AE1" s="47" t="s">
        <v>13</v>
      </c>
      <c r="AF1" s="49" t="s">
        <v>14</v>
      </c>
      <c r="AG1" s="49" t="s">
        <v>15</v>
      </c>
      <c r="AH1" s="50" t="s">
        <v>18</v>
      </c>
      <c r="AI1" s="49" t="s">
        <v>16</v>
      </c>
      <c r="AJ1" s="51" t="s">
        <v>17</v>
      </c>
      <c r="AK1" s="38" t="s">
        <v>57</v>
      </c>
      <c r="AL1" s="38" t="s">
        <v>58</v>
      </c>
    </row>
    <row r="2" spans="1:42" s="43" customFormat="1" ht="15.6" x14ac:dyDescent="0.3">
      <c r="A2" s="44">
        <v>3</v>
      </c>
      <c r="B2" s="41"/>
      <c r="C2" s="46"/>
      <c r="D2" s="42"/>
      <c r="E2" s="42"/>
      <c r="F2" s="42"/>
      <c r="G2" s="42"/>
      <c r="H2" s="42"/>
      <c r="I2" s="42"/>
      <c r="J2" s="42"/>
      <c r="K2" s="42"/>
      <c r="L2" s="42">
        <f>ROW()</f>
        <v>2</v>
      </c>
      <c r="M2" s="42">
        <v>15</v>
      </c>
      <c r="Y2" s="57" t="s">
        <v>49</v>
      </c>
      <c r="Z2" s="44"/>
      <c r="AA2" s="44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</row>
    <row r="3" spans="1:42" x14ac:dyDescent="0.3">
      <c r="A3" s="39">
        <v>3</v>
      </c>
      <c r="B3" s="39">
        <v>2</v>
      </c>
      <c r="C3" s="40" t="s">
        <v>80</v>
      </c>
      <c r="D3" s="40" t="s">
        <v>81</v>
      </c>
      <c r="E3" s="40" t="s">
        <v>82</v>
      </c>
      <c r="F3" s="40"/>
      <c r="G3" s="40">
        <v>15</v>
      </c>
      <c r="H3" s="40">
        <v>12</v>
      </c>
      <c r="I3" s="40">
        <v>4098</v>
      </c>
      <c r="J3" s="40">
        <v>450</v>
      </c>
      <c r="K3" s="40">
        <v>54576</v>
      </c>
      <c r="L3" s="40">
        <f>ROW()</f>
        <v>3</v>
      </c>
      <c r="M3" s="40">
        <v>16</v>
      </c>
      <c r="Y3" s="37">
        <f>Invoice!M9</f>
        <v>1</v>
      </c>
      <c r="AA3" s="39"/>
      <c r="AB3" s="40"/>
      <c r="AC3" s="40"/>
      <c r="AD3" s="40"/>
      <c r="AE3" s="40"/>
      <c r="AF3" s="40"/>
      <c r="AG3" s="40"/>
      <c r="AH3" s="40"/>
      <c r="AI3" s="40"/>
      <c r="AJ3" s="40"/>
      <c r="AK3" s="40"/>
    </row>
    <row r="4" spans="1:42" s="43" customFormat="1" x14ac:dyDescent="0.3">
      <c r="A4" s="44">
        <v>4</v>
      </c>
      <c r="B4" s="44">
        <v>1</v>
      </c>
      <c r="C4" s="45" t="s">
        <v>85</v>
      </c>
      <c r="D4" s="45" t="s">
        <v>86</v>
      </c>
      <c r="E4" s="45" t="s">
        <v>87</v>
      </c>
      <c r="F4" s="45"/>
      <c r="G4" s="45">
        <v>10</v>
      </c>
      <c r="H4" s="45">
        <v>10</v>
      </c>
      <c r="I4" s="45">
        <v>4000</v>
      </c>
      <c r="J4" s="45">
        <v>400</v>
      </c>
      <c r="K4" s="45">
        <v>44000</v>
      </c>
      <c r="L4" s="45">
        <f>ROW()</f>
        <v>4</v>
      </c>
      <c r="M4" s="45">
        <v>15</v>
      </c>
      <c r="Z4" s="44"/>
      <c r="AA4" s="44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</row>
    <row r="5" spans="1:42" x14ac:dyDescent="0.3">
      <c r="B5" s="39"/>
      <c r="C5" s="40"/>
      <c r="D5" s="40"/>
      <c r="E5" s="40"/>
      <c r="F5" s="40"/>
      <c r="G5" s="40"/>
      <c r="H5" s="40"/>
      <c r="I5" s="40"/>
      <c r="J5" s="40"/>
      <c r="K5" s="40"/>
      <c r="L5" s="40"/>
      <c r="AA5" s="39"/>
      <c r="AB5" s="40"/>
      <c r="AC5" s="40"/>
      <c r="AD5" s="40"/>
      <c r="AE5" s="40"/>
      <c r="AF5" s="40"/>
      <c r="AG5" s="40"/>
      <c r="AH5" s="40"/>
      <c r="AI5" s="40"/>
      <c r="AJ5" s="40"/>
      <c r="AK5" s="40"/>
    </row>
    <row r="6" spans="1:42" s="43" customFormat="1" x14ac:dyDescent="0.3">
      <c r="A6" s="44"/>
      <c r="B6" s="44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Z6" s="44"/>
      <c r="AA6" s="44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</row>
    <row r="7" spans="1:42" x14ac:dyDescent="0.3">
      <c r="B7" s="39"/>
      <c r="C7" s="40"/>
      <c r="D7" s="40"/>
      <c r="E7" s="40"/>
      <c r="F7" s="40"/>
      <c r="G7" s="40"/>
      <c r="H7" s="40"/>
      <c r="I7" s="40"/>
      <c r="J7" s="40"/>
      <c r="K7" s="40"/>
      <c r="L7" s="40"/>
      <c r="AA7" s="39"/>
      <c r="AB7" s="40"/>
      <c r="AC7" s="40"/>
      <c r="AD7" s="40"/>
      <c r="AE7" s="40"/>
      <c r="AF7" s="40"/>
      <c r="AG7" s="40"/>
      <c r="AH7" s="40"/>
      <c r="AI7" s="40"/>
      <c r="AJ7" s="40"/>
      <c r="AK7" s="40"/>
    </row>
    <row r="8" spans="1:42" x14ac:dyDescent="0.3">
      <c r="A8" s="44"/>
      <c r="B8" s="44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4"/>
      <c r="AA8" s="44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3"/>
      <c r="AN8" s="43"/>
      <c r="AO8" s="43"/>
      <c r="AP8" s="43"/>
    </row>
    <row r="9" spans="1:42" x14ac:dyDescent="0.3">
      <c r="B9" s="39"/>
      <c r="C9" s="40"/>
      <c r="D9" s="40"/>
      <c r="E9" s="40"/>
      <c r="F9" s="40"/>
      <c r="G9" s="40"/>
      <c r="H9" s="40"/>
      <c r="I9" s="40"/>
      <c r="J9" s="40"/>
      <c r="K9" s="40"/>
      <c r="L9" s="40"/>
      <c r="AA9" s="39"/>
      <c r="AB9" s="40"/>
      <c r="AC9" s="40"/>
      <c r="AD9" s="40"/>
      <c r="AE9" s="40"/>
      <c r="AF9" s="40"/>
      <c r="AG9" s="40"/>
      <c r="AH9" s="40"/>
      <c r="AI9" s="40"/>
      <c r="AJ9" s="40"/>
      <c r="AK9" s="40"/>
    </row>
    <row r="10" spans="1:42" x14ac:dyDescent="0.3">
      <c r="A10" s="44"/>
      <c r="B10" s="44"/>
      <c r="C10" s="45"/>
      <c r="D10" s="45"/>
      <c r="E10" s="45"/>
      <c r="F10" s="45"/>
      <c r="G10" s="45"/>
      <c r="H10" s="45"/>
      <c r="I10" s="45"/>
      <c r="J10" s="45"/>
      <c r="K10" s="53"/>
      <c r="L10" s="45"/>
      <c r="M10" s="45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4"/>
      <c r="AA10" s="44"/>
      <c r="AB10" s="45"/>
      <c r="AC10" s="45"/>
      <c r="AD10" s="45"/>
      <c r="AE10" s="45"/>
      <c r="AF10" s="45"/>
      <c r="AG10" s="45"/>
      <c r="AH10" s="45"/>
      <c r="AI10" s="45"/>
      <c r="AJ10" s="53"/>
      <c r="AK10" s="45"/>
      <c r="AL10" s="45"/>
      <c r="AM10" s="43"/>
      <c r="AN10" s="43"/>
      <c r="AO10" s="43"/>
      <c r="AP10" s="43"/>
    </row>
    <row r="11" spans="1:42" x14ac:dyDescent="0.3">
      <c r="B11" s="39"/>
      <c r="C11" s="40"/>
      <c r="D11" s="40"/>
      <c r="E11" s="40"/>
      <c r="F11" s="40"/>
      <c r="G11" s="40"/>
      <c r="H11" s="40"/>
      <c r="I11" s="40"/>
      <c r="J11" s="40"/>
      <c r="K11" s="40"/>
      <c r="L11" s="40"/>
      <c r="AA11" s="39"/>
      <c r="AB11" s="40"/>
      <c r="AC11" s="40"/>
      <c r="AD11" s="40"/>
      <c r="AE11" s="40"/>
      <c r="AF11" s="40"/>
      <c r="AG11" s="40"/>
      <c r="AH11" s="40"/>
      <c r="AI11" s="40"/>
      <c r="AJ11" s="40"/>
      <c r="AK11" s="40"/>
    </row>
    <row r="12" spans="1:42" x14ac:dyDescent="0.3">
      <c r="A12" s="44"/>
      <c r="B12" s="44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4"/>
      <c r="AA12" s="44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3"/>
      <c r="AN12" s="43"/>
      <c r="AO12" s="43"/>
      <c r="AP12" s="43"/>
    </row>
    <row r="13" spans="1:42" x14ac:dyDescent="0.3">
      <c r="B13" s="39"/>
      <c r="C13" s="40"/>
      <c r="D13" s="40"/>
      <c r="E13" s="40"/>
      <c r="F13" s="40"/>
      <c r="G13" s="40"/>
      <c r="H13" s="40"/>
      <c r="I13" s="40"/>
      <c r="J13" s="40"/>
      <c r="K13" s="40"/>
      <c r="L13" s="40"/>
      <c r="AA13" s="39"/>
      <c r="AB13" s="40"/>
      <c r="AC13" s="40"/>
      <c r="AD13" s="40"/>
      <c r="AE13" s="40"/>
      <c r="AF13" s="40"/>
      <c r="AG13" s="40"/>
      <c r="AH13" s="40"/>
      <c r="AI13" s="40"/>
      <c r="AJ13" s="40"/>
      <c r="AK13" s="40"/>
    </row>
    <row r="14" spans="1:42" x14ac:dyDescent="0.3">
      <c r="A14" s="44"/>
      <c r="B14" s="54"/>
      <c r="C14" s="45"/>
      <c r="D14" s="45"/>
      <c r="E14" s="45"/>
      <c r="F14" s="45"/>
      <c r="G14" s="55"/>
      <c r="H14" s="55"/>
      <c r="I14" s="55"/>
      <c r="J14" s="55"/>
      <c r="K14" s="45"/>
      <c r="L14" s="45"/>
      <c r="M14" s="45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4"/>
      <c r="AA14" s="54"/>
      <c r="AB14" s="45"/>
      <c r="AC14" s="45"/>
      <c r="AD14" s="45"/>
      <c r="AE14" s="45"/>
      <c r="AF14" s="55"/>
      <c r="AG14" s="55"/>
      <c r="AH14" s="55"/>
      <c r="AI14" s="55"/>
      <c r="AJ14" s="45"/>
      <c r="AK14" s="45"/>
      <c r="AL14" s="45"/>
      <c r="AM14" s="43"/>
      <c r="AN14" s="43"/>
      <c r="AO14" s="43"/>
      <c r="AP14" s="43"/>
    </row>
    <row r="15" spans="1:42" x14ac:dyDescent="0.3"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AA15" s="39"/>
      <c r="AB15" s="40"/>
      <c r="AC15" s="40"/>
      <c r="AD15" s="40"/>
      <c r="AE15" s="40"/>
      <c r="AF15" s="40"/>
      <c r="AG15" s="40"/>
      <c r="AH15" s="40"/>
      <c r="AI15" s="40"/>
      <c r="AJ15" s="40"/>
      <c r="AK15" s="40"/>
    </row>
    <row r="16" spans="1:42" x14ac:dyDescent="0.3">
      <c r="A16" s="44"/>
      <c r="B16" s="44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4"/>
      <c r="AA16" s="44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3"/>
      <c r="AN16" s="43"/>
      <c r="AO16" s="43"/>
      <c r="AP16" s="43"/>
    </row>
    <row r="17" spans="1:42" x14ac:dyDescent="0.3">
      <c r="B17" s="39"/>
      <c r="C17" s="40"/>
      <c r="D17" s="40"/>
      <c r="E17" s="40"/>
      <c r="F17" s="40"/>
      <c r="G17" s="40"/>
      <c r="H17" s="40"/>
      <c r="I17" s="40"/>
      <c r="J17" s="40"/>
      <c r="K17" s="40"/>
      <c r="L17" s="40"/>
      <c r="AA17" s="39"/>
      <c r="AB17" s="40"/>
      <c r="AC17" s="40"/>
      <c r="AD17" s="40"/>
      <c r="AE17" s="40"/>
      <c r="AF17" s="40"/>
      <c r="AG17" s="40"/>
      <c r="AH17" s="40"/>
      <c r="AI17" s="40"/>
      <c r="AJ17" s="40"/>
      <c r="AK17" s="40"/>
    </row>
    <row r="18" spans="1:42" x14ac:dyDescent="0.3">
      <c r="A18" s="44"/>
      <c r="B18" s="44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4"/>
      <c r="AA18" s="44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3"/>
      <c r="AN18" s="43"/>
      <c r="AO18" s="43"/>
      <c r="AP18" s="43"/>
    </row>
    <row r="19" spans="1:42" x14ac:dyDescent="0.3">
      <c r="B19" s="39"/>
      <c r="C19" s="40"/>
      <c r="D19" s="40"/>
      <c r="E19" s="40"/>
      <c r="F19" s="40"/>
      <c r="G19" s="40"/>
      <c r="H19" s="40"/>
      <c r="I19" s="40"/>
      <c r="J19" s="40"/>
      <c r="K19" s="40"/>
      <c r="L19" s="40"/>
      <c r="AA19" s="39"/>
      <c r="AB19" s="40"/>
      <c r="AC19" s="40"/>
      <c r="AD19" s="40"/>
      <c r="AE19" s="40"/>
      <c r="AF19" s="40"/>
      <c r="AG19" s="40"/>
      <c r="AH19" s="40"/>
      <c r="AI19" s="40"/>
      <c r="AJ19" s="40"/>
      <c r="AK19" s="40"/>
    </row>
    <row r="20" spans="1:42" x14ac:dyDescent="0.3">
      <c r="A20" s="44"/>
      <c r="B20" s="44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4"/>
      <c r="AA20" s="44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3"/>
      <c r="AN20" s="43"/>
      <c r="AO20" s="43"/>
      <c r="AP20" s="43"/>
    </row>
    <row r="21" spans="1:42" x14ac:dyDescent="0.3">
      <c r="B21" s="39"/>
      <c r="C21" s="40"/>
      <c r="D21" s="40"/>
      <c r="E21" s="40"/>
      <c r="F21" s="40"/>
      <c r="G21" s="40"/>
      <c r="H21" s="40"/>
      <c r="I21" s="40"/>
      <c r="J21" s="40"/>
      <c r="K21" s="40"/>
      <c r="L21" s="40"/>
      <c r="AA21" s="39"/>
      <c r="AB21" s="40"/>
      <c r="AC21" s="40"/>
      <c r="AD21" s="40"/>
      <c r="AE21" s="40"/>
      <c r="AF21" s="40"/>
      <c r="AG21" s="40"/>
      <c r="AH21" s="40"/>
      <c r="AI21" s="40"/>
      <c r="AJ21" s="40"/>
      <c r="AK21" s="40"/>
    </row>
    <row r="22" spans="1:42" x14ac:dyDescent="0.3">
      <c r="A22" s="44"/>
      <c r="B22" s="44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4"/>
      <c r="AA22" s="44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3"/>
      <c r="AN22" s="43"/>
      <c r="AO22" s="43"/>
      <c r="AP22" s="43"/>
    </row>
    <row r="23" spans="1:42" x14ac:dyDescent="0.3">
      <c r="B23" s="39"/>
      <c r="C23" s="40"/>
      <c r="D23" s="40"/>
      <c r="E23" s="40"/>
      <c r="F23" s="40"/>
      <c r="G23" s="40"/>
      <c r="H23" s="40"/>
      <c r="I23" s="40"/>
      <c r="J23" s="40"/>
      <c r="K23" s="40"/>
      <c r="L23" s="40"/>
      <c r="AA23" s="39"/>
      <c r="AB23" s="40"/>
      <c r="AC23" s="40"/>
      <c r="AD23" s="40"/>
      <c r="AE23" s="40"/>
      <c r="AF23" s="40"/>
      <c r="AG23" s="40"/>
      <c r="AH23" s="40"/>
      <c r="AI23" s="40"/>
      <c r="AJ23" s="40"/>
      <c r="AK23" s="40"/>
    </row>
    <row r="24" spans="1:42" x14ac:dyDescent="0.3">
      <c r="A24" s="44"/>
      <c r="B24" s="44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4"/>
      <c r="AA24" s="44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3"/>
      <c r="AN24" s="43"/>
      <c r="AO24" s="43"/>
      <c r="AP24" s="43"/>
    </row>
    <row r="25" spans="1:42" x14ac:dyDescent="0.3">
      <c r="B25" s="56"/>
      <c r="C25" s="40"/>
      <c r="D25" s="40"/>
      <c r="E25" s="40"/>
      <c r="F25" s="40"/>
      <c r="G25" s="40"/>
      <c r="H25" s="40"/>
      <c r="I25" s="40"/>
      <c r="J25" s="40"/>
      <c r="K25" s="40"/>
      <c r="L25" s="40"/>
      <c r="AA25" s="56"/>
      <c r="AB25" s="40"/>
      <c r="AC25" s="40"/>
      <c r="AD25" s="40"/>
      <c r="AE25" s="40"/>
      <c r="AF25" s="40"/>
      <c r="AG25" s="40"/>
      <c r="AH25" s="40"/>
      <c r="AI25" s="40"/>
      <c r="AJ25" s="40"/>
      <c r="AK25" s="40"/>
    </row>
    <row r="26" spans="1:42" x14ac:dyDescent="0.3">
      <c r="A26" s="44"/>
      <c r="B26" s="44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4"/>
      <c r="AA26" s="44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3"/>
      <c r="AN26" s="43"/>
      <c r="AO26" s="43"/>
      <c r="AP26" s="43"/>
    </row>
    <row r="27" spans="1:42" x14ac:dyDescent="0.3">
      <c r="B27" s="39"/>
      <c r="C27" s="40"/>
      <c r="D27" s="40"/>
      <c r="E27" s="40"/>
      <c r="F27" s="40"/>
      <c r="G27" s="40"/>
      <c r="H27" s="40"/>
      <c r="I27" s="40"/>
      <c r="J27" s="40"/>
      <c r="K27" s="40"/>
      <c r="L27" s="40"/>
      <c r="AA27" s="39"/>
      <c r="AB27" s="40"/>
      <c r="AC27" s="40"/>
      <c r="AD27" s="40"/>
      <c r="AE27" s="40"/>
      <c r="AF27" s="40"/>
      <c r="AG27" s="40"/>
      <c r="AH27" s="40"/>
      <c r="AI27" s="40"/>
      <c r="AJ27" s="40"/>
      <c r="AK27" s="40"/>
    </row>
    <row r="28" spans="1:42" x14ac:dyDescent="0.3">
      <c r="A28" s="44"/>
      <c r="B28" s="44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4"/>
      <c r="AA28" s="44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3"/>
      <c r="AN28" s="43"/>
      <c r="AO28" s="43"/>
      <c r="AP28" s="43"/>
    </row>
    <row r="29" spans="1:42" x14ac:dyDescent="0.3">
      <c r="B29" s="39"/>
      <c r="C29" s="40"/>
      <c r="D29" s="40"/>
      <c r="E29" s="40"/>
      <c r="F29" s="40"/>
      <c r="G29" s="40"/>
      <c r="H29" s="40"/>
      <c r="I29" s="40"/>
      <c r="J29" s="40"/>
      <c r="K29" s="40"/>
      <c r="L29" s="40"/>
      <c r="AA29" s="39"/>
      <c r="AB29" s="40"/>
      <c r="AC29" s="40"/>
      <c r="AD29" s="40"/>
      <c r="AE29" s="40"/>
      <c r="AF29" s="40"/>
      <c r="AG29" s="40"/>
      <c r="AH29" s="40"/>
      <c r="AI29" s="40"/>
      <c r="AJ29" s="40"/>
      <c r="AK29" s="40"/>
    </row>
    <row r="30" spans="1:42" x14ac:dyDescent="0.3">
      <c r="A30" s="44"/>
      <c r="B30" s="44"/>
      <c r="C30" s="45"/>
      <c r="D30" s="45"/>
      <c r="E30" s="45"/>
      <c r="F30" s="45"/>
      <c r="G30" s="45"/>
      <c r="H30" s="55"/>
      <c r="I30" s="45"/>
      <c r="J30" s="45"/>
      <c r="K30" s="45"/>
      <c r="L30" s="45"/>
      <c r="M30" s="4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4"/>
      <c r="AA30" s="44"/>
      <c r="AB30" s="45"/>
      <c r="AC30" s="45"/>
      <c r="AD30" s="45"/>
      <c r="AE30" s="45"/>
      <c r="AF30" s="45"/>
      <c r="AG30" s="55"/>
      <c r="AH30" s="45"/>
      <c r="AI30" s="45"/>
      <c r="AJ30" s="45"/>
      <c r="AK30" s="45"/>
      <c r="AL30" s="45"/>
      <c r="AM30" s="43"/>
      <c r="AN30" s="43"/>
      <c r="AO30" s="43"/>
      <c r="AP30" s="43"/>
    </row>
    <row r="31" spans="1:42" x14ac:dyDescent="0.3">
      <c r="B31" s="39"/>
      <c r="C31" s="40"/>
      <c r="D31" s="40"/>
      <c r="E31" s="40"/>
      <c r="F31" s="40"/>
      <c r="G31" s="40"/>
      <c r="H31" s="40"/>
      <c r="I31" s="40"/>
      <c r="J31" s="40"/>
      <c r="K31" s="40"/>
      <c r="L31" s="40"/>
      <c r="AA31" s="39"/>
      <c r="AB31" s="40"/>
      <c r="AC31" s="40"/>
      <c r="AD31" s="40"/>
      <c r="AE31" s="40"/>
      <c r="AF31" s="40"/>
      <c r="AG31" s="40"/>
      <c r="AH31" s="40"/>
      <c r="AI31" s="40"/>
      <c r="AJ31" s="40"/>
      <c r="AK31" s="40"/>
    </row>
    <row r="32" spans="1:42" x14ac:dyDescent="0.3">
      <c r="A32" s="44"/>
      <c r="B32" s="44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4"/>
      <c r="AA32" s="44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3"/>
      <c r="AN32" s="43"/>
      <c r="AO32" s="43"/>
      <c r="AP32" s="43"/>
    </row>
    <row r="33" spans="1:42" x14ac:dyDescent="0.3">
      <c r="B33" s="39"/>
      <c r="C33" s="40"/>
      <c r="D33" s="40"/>
      <c r="E33" s="40"/>
      <c r="F33" s="40"/>
      <c r="G33" s="40"/>
      <c r="H33" s="40"/>
      <c r="I33" s="40"/>
      <c r="J33" s="40"/>
      <c r="K33" s="40"/>
      <c r="L33" s="40"/>
      <c r="AA33" s="39"/>
      <c r="AB33" s="40"/>
      <c r="AC33" s="40"/>
      <c r="AD33" s="40"/>
      <c r="AE33" s="40"/>
      <c r="AF33" s="40"/>
      <c r="AG33" s="40"/>
      <c r="AH33" s="40"/>
      <c r="AI33" s="40"/>
      <c r="AJ33" s="40"/>
      <c r="AK33" s="40"/>
    </row>
    <row r="34" spans="1:42" x14ac:dyDescent="0.3">
      <c r="A34" s="44"/>
      <c r="B34" s="44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4"/>
      <c r="AA34" s="44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3"/>
      <c r="AN34" s="43"/>
      <c r="AO34" s="43"/>
      <c r="AP34" s="43"/>
    </row>
    <row r="35" spans="1:42" x14ac:dyDescent="0.3">
      <c r="B35" s="39"/>
      <c r="C35" s="40"/>
      <c r="D35" s="40"/>
      <c r="E35" s="40"/>
      <c r="F35" s="40"/>
      <c r="G35" s="40"/>
      <c r="H35" s="40"/>
      <c r="I35" s="40"/>
      <c r="J35" s="40"/>
      <c r="K35" s="40"/>
      <c r="L35" s="40"/>
      <c r="AA35" s="39"/>
      <c r="AB35" s="40"/>
      <c r="AC35" s="40"/>
      <c r="AD35" s="40"/>
      <c r="AE35" s="40"/>
      <c r="AF35" s="40"/>
      <c r="AG35" s="40"/>
      <c r="AH35" s="40"/>
      <c r="AI35" s="40"/>
      <c r="AJ35" s="40"/>
      <c r="AK35" s="40"/>
    </row>
    <row r="36" spans="1:42" x14ac:dyDescent="0.3">
      <c r="A36" s="44"/>
      <c r="B36" s="44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4"/>
      <c r="AA36" s="44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3"/>
      <c r="AN36" s="43"/>
      <c r="AO36" s="43"/>
      <c r="AP36" s="43"/>
    </row>
    <row r="37" spans="1:42" x14ac:dyDescent="0.3">
      <c r="B37" s="39"/>
      <c r="C37" s="40"/>
      <c r="D37" s="40"/>
      <c r="E37" s="40"/>
      <c r="F37" s="40"/>
      <c r="G37" s="40"/>
      <c r="H37" s="40"/>
      <c r="I37" s="40"/>
      <c r="J37" s="40"/>
      <c r="K37" s="40"/>
      <c r="L37" s="40"/>
      <c r="AA37" s="39"/>
      <c r="AB37" s="40"/>
      <c r="AC37" s="40"/>
      <c r="AD37" s="40"/>
      <c r="AE37" s="40"/>
      <c r="AF37" s="40"/>
      <c r="AG37" s="40"/>
      <c r="AH37" s="40"/>
      <c r="AI37" s="40"/>
      <c r="AJ37" s="40"/>
      <c r="AK37" s="40"/>
    </row>
    <row r="38" spans="1:42" x14ac:dyDescent="0.3">
      <c r="A38" s="44"/>
      <c r="B38" s="44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4"/>
      <c r="AA38" s="44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3"/>
      <c r="AN38" s="43"/>
      <c r="AO38" s="43"/>
      <c r="AP38" s="43"/>
    </row>
    <row r="39" spans="1:42" x14ac:dyDescent="0.3"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40"/>
      <c r="AA39" s="39"/>
      <c r="AB39" s="40"/>
      <c r="AC39" s="40"/>
      <c r="AD39" s="40"/>
      <c r="AE39" s="40"/>
      <c r="AF39" s="40"/>
      <c r="AG39" s="40"/>
      <c r="AH39" s="40"/>
      <c r="AI39" s="40"/>
      <c r="AJ39" s="40"/>
      <c r="AK39" s="40"/>
    </row>
    <row r="40" spans="1:42" x14ac:dyDescent="0.3">
      <c r="A40" s="44"/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4"/>
      <c r="AA40" s="44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3"/>
      <c r="AN40" s="43"/>
      <c r="AO40" s="43"/>
      <c r="AP40" s="43"/>
    </row>
    <row r="41" spans="1:42" x14ac:dyDescent="0.3">
      <c r="B41" s="39"/>
      <c r="C41" s="40"/>
      <c r="D41" s="40"/>
      <c r="E41" s="40"/>
      <c r="F41" s="40"/>
      <c r="G41" s="40"/>
      <c r="H41" s="40"/>
      <c r="I41" s="40"/>
      <c r="J41" s="40"/>
      <c r="K41" s="40"/>
      <c r="L41" s="40"/>
      <c r="AA41" s="39"/>
      <c r="AB41" s="40"/>
      <c r="AC41" s="40"/>
      <c r="AD41" s="40"/>
      <c r="AE41" s="40"/>
      <c r="AF41" s="40"/>
      <c r="AG41" s="40"/>
      <c r="AH41" s="40"/>
      <c r="AI41" s="40"/>
      <c r="AJ41" s="40"/>
      <c r="AK41" s="40"/>
    </row>
    <row r="42" spans="1:42" x14ac:dyDescent="0.3">
      <c r="A42" s="44"/>
      <c r="B42" s="44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4"/>
      <c r="AA42" s="44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3"/>
      <c r="AN42" s="43"/>
      <c r="AO42" s="43"/>
      <c r="AP42" s="43"/>
    </row>
    <row r="43" spans="1:42" x14ac:dyDescent="0.3">
      <c r="B43" s="39"/>
      <c r="C43" s="40"/>
      <c r="D43" s="40"/>
      <c r="E43" s="40"/>
      <c r="F43" s="40"/>
      <c r="G43" s="40"/>
      <c r="H43" s="40"/>
      <c r="I43" s="40"/>
      <c r="J43" s="40"/>
      <c r="K43" s="40"/>
      <c r="L43" s="40"/>
      <c r="AA43" s="39"/>
      <c r="AB43" s="40"/>
      <c r="AC43" s="40"/>
      <c r="AD43" s="40"/>
      <c r="AE43" s="40"/>
      <c r="AF43" s="40"/>
      <c r="AG43" s="40"/>
      <c r="AH43" s="40"/>
      <c r="AI43" s="40"/>
      <c r="AJ43" s="40"/>
      <c r="AK43" s="40"/>
    </row>
    <row r="44" spans="1:42" x14ac:dyDescent="0.3">
      <c r="A44" s="44"/>
      <c r="B44" s="44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4"/>
      <c r="AA44" s="44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3"/>
      <c r="AN44" s="43"/>
      <c r="AO44" s="43"/>
      <c r="AP44" s="43"/>
    </row>
    <row r="45" spans="1:42" x14ac:dyDescent="0.3">
      <c r="B45" s="39"/>
      <c r="C45" s="40"/>
      <c r="D45" s="40"/>
      <c r="E45" s="40"/>
      <c r="F45" s="40"/>
      <c r="G45" s="40"/>
      <c r="H45" s="40"/>
      <c r="I45" s="40"/>
      <c r="J45" s="40"/>
      <c r="K45" s="40"/>
      <c r="L45" s="40"/>
      <c r="AA45" s="39"/>
      <c r="AB45" s="40"/>
      <c r="AC45" s="40"/>
      <c r="AD45" s="40"/>
      <c r="AE45" s="40"/>
      <c r="AF45" s="40"/>
      <c r="AG45" s="40"/>
      <c r="AH45" s="40"/>
      <c r="AI45" s="40"/>
      <c r="AJ45" s="40"/>
      <c r="AK45" s="40"/>
    </row>
    <row r="46" spans="1:42" x14ac:dyDescent="0.3">
      <c r="A46" s="44"/>
      <c r="B46" s="44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4"/>
      <c r="AA46" s="44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3"/>
      <c r="AN46" s="43"/>
      <c r="AO46" s="43"/>
      <c r="AP46" s="43"/>
    </row>
    <row r="47" spans="1:42" x14ac:dyDescent="0.3">
      <c r="B47" s="39"/>
      <c r="C47" s="40"/>
      <c r="D47" s="40"/>
      <c r="E47" s="40"/>
      <c r="F47" s="40"/>
      <c r="G47" s="40"/>
      <c r="H47" s="40"/>
      <c r="I47" s="40"/>
      <c r="J47" s="40"/>
      <c r="K47" s="40"/>
      <c r="L47" s="40"/>
      <c r="AA47" s="39"/>
      <c r="AB47" s="40"/>
      <c r="AC47" s="40"/>
      <c r="AD47" s="40"/>
      <c r="AE47" s="40"/>
      <c r="AF47" s="40"/>
      <c r="AG47" s="40"/>
      <c r="AH47" s="40"/>
      <c r="AI47" s="40"/>
      <c r="AJ47" s="40"/>
      <c r="AK47" s="40"/>
    </row>
    <row r="48" spans="1:42" x14ac:dyDescent="0.3">
      <c r="A48" s="44"/>
      <c r="B48" s="44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4"/>
      <c r="AA48" s="44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3"/>
      <c r="AN48" s="43"/>
      <c r="AO48" s="43"/>
      <c r="AP48" s="43"/>
    </row>
    <row r="49" spans="1:42" x14ac:dyDescent="0.3">
      <c r="B49" s="39"/>
      <c r="C49" s="40"/>
      <c r="D49" s="40"/>
      <c r="E49" s="40"/>
      <c r="F49" s="40"/>
      <c r="G49" s="40"/>
      <c r="H49" s="40"/>
      <c r="I49" s="40"/>
      <c r="J49" s="40"/>
      <c r="K49" s="40"/>
      <c r="L49" s="40"/>
      <c r="AA49" s="39"/>
      <c r="AB49" s="40"/>
      <c r="AC49" s="40"/>
      <c r="AD49" s="40"/>
      <c r="AE49" s="40"/>
      <c r="AF49" s="40"/>
      <c r="AG49" s="40"/>
      <c r="AH49" s="40"/>
      <c r="AI49" s="40"/>
      <c r="AJ49" s="40"/>
      <c r="AK49" s="40"/>
    </row>
    <row r="50" spans="1:42" x14ac:dyDescent="0.3">
      <c r="A50" s="44"/>
      <c r="B50" s="44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4"/>
      <c r="AA50" s="44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3"/>
      <c r="AN50" s="43"/>
      <c r="AO50" s="43"/>
      <c r="AP50" s="43"/>
    </row>
    <row r="51" spans="1:42" x14ac:dyDescent="0.3">
      <c r="B51" s="39"/>
      <c r="C51" s="40"/>
      <c r="D51" s="40"/>
      <c r="E51" s="40"/>
      <c r="F51" s="40"/>
      <c r="G51" s="40"/>
      <c r="H51" s="40"/>
      <c r="I51" s="40"/>
      <c r="J51" s="40"/>
      <c r="K51" s="40"/>
      <c r="L51" s="40"/>
      <c r="AA51" s="39"/>
      <c r="AB51" s="40"/>
      <c r="AC51" s="40"/>
      <c r="AD51" s="40"/>
      <c r="AE51" s="40"/>
      <c r="AF51" s="40"/>
      <c r="AG51" s="40"/>
      <c r="AH51" s="40"/>
      <c r="AI51" s="40"/>
      <c r="AJ51" s="40"/>
      <c r="AK51" s="40"/>
    </row>
    <row r="52" spans="1:42" x14ac:dyDescent="0.3">
      <c r="A52" s="44"/>
      <c r="B52" s="44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4"/>
      <c r="AA52" s="44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3"/>
      <c r="AN52" s="43"/>
      <c r="AO52" s="43"/>
      <c r="AP52" s="43"/>
    </row>
    <row r="53" spans="1:42" x14ac:dyDescent="0.3">
      <c r="B53" s="39"/>
      <c r="C53" s="40"/>
      <c r="D53" s="40"/>
      <c r="E53" s="40"/>
      <c r="F53" s="40"/>
      <c r="G53" s="40"/>
      <c r="H53" s="40"/>
      <c r="I53" s="40"/>
      <c r="J53" s="40"/>
      <c r="K53" s="40"/>
      <c r="L53" s="40"/>
      <c r="AA53" s="39"/>
      <c r="AB53" s="40"/>
      <c r="AC53" s="40"/>
      <c r="AD53" s="40"/>
      <c r="AE53" s="40"/>
      <c r="AF53" s="40"/>
      <c r="AG53" s="40"/>
      <c r="AH53" s="40"/>
      <c r="AI53" s="40"/>
      <c r="AJ53" s="40"/>
      <c r="AK53" s="40"/>
    </row>
    <row r="54" spans="1:42" x14ac:dyDescent="0.3">
      <c r="A54" s="44"/>
      <c r="B54" s="44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4"/>
      <c r="AA54" s="44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3"/>
      <c r="AN54" s="43"/>
      <c r="AO54" s="43"/>
      <c r="AP54" s="43"/>
    </row>
    <row r="55" spans="1:42" x14ac:dyDescent="0.3">
      <c r="B55" s="39"/>
      <c r="C55" s="40"/>
      <c r="D55" s="40"/>
      <c r="E55" s="40"/>
      <c r="F55" s="40"/>
      <c r="G55" s="40"/>
      <c r="H55" s="40"/>
      <c r="I55" s="40"/>
      <c r="J55" s="40"/>
      <c r="K55" s="40"/>
      <c r="L55" s="40"/>
      <c r="AA55" s="39"/>
      <c r="AB55" s="40"/>
      <c r="AC55" s="40"/>
      <c r="AD55" s="40"/>
      <c r="AE55" s="40"/>
      <c r="AF55" s="40"/>
      <c r="AG55" s="40"/>
      <c r="AH55" s="40"/>
      <c r="AI55" s="40"/>
      <c r="AJ55" s="40"/>
      <c r="AK55" s="40"/>
    </row>
    <row r="56" spans="1:42" x14ac:dyDescent="0.3">
      <c r="A56" s="44"/>
      <c r="B56" s="44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4"/>
      <c r="AA56" s="44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3"/>
      <c r="AN56" s="43"/>
      <c r="AO56" s="43"/>
      <c r="AP56" s="43"/>
    </row>
    <row r="57" spans="1:42" x14ac:dyDescent="0.3">
      <c r="B57" s="39"/>
      <c r="C57" s="40"/>
      <c r="D57" s="40"/>
      <c r="E57" s="40"/>
      <c r="F57" s="40"/>
      <c r="G57" s="40"/>
      <c r="H57" s="40"/>
      <c r="I57" s="40"/>
      <c r="J57" s="40"/>
      <c r="K57" s="40"/>
      <c r="L57" s="40"/>
      <c r="AA57" s="39"/>
      <c r="AB57" s="40"/>
      <c r="AC57" s="40"/>
      <c r="AD57" s="40"/>
      <c r="AE57" s="40"/>
      <c r="AF57" s="40"/>
      <c r="AG57" s="40"/>
      <c r="AH57" s="40"/>
      <c r="AI57" s="40"/>
      <c r="AJ57" s="40"/>
      <c r="AK57" s="40"/>
    </row>
    <row r="58" spans="1:42" x14ac:dyDescent="0.3">
      <c r="A58" s="44"/>
      <c r="B58" s="44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4"/>
      <c r="AA58" s="44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3"/>
      <c r="AN58" s="43"/>
      <c r="AO58" s="43"/>
      <c r="AP58" s="43"/>
    </row>
    <row r="59" spans="1:42" x14ac:dyDescent="0.3">
      <c r="B59" s="39"/>
      <c r="C59" s="40"/>
      <c r="D59" s="40"/>
      <c r="E59" s="40"/>
      <c r="F59" s="40"/>
      <c r="G59" s="40"/>
      <c r="H59" s="40"/>
      <c r="I59" s="40"/>
      <c r="J59" s="40"/>
      <c r="K59" s="40"/>
      <c r="L59" s="40"/>
      <c r="AA59" s="39"/>
      <c r="AB59" s="40"/>
      <c r="AC59" s="40"/>
      <c r="AD59" s="40"/>
      <c r="AE59" s="40"/>
      <c r="AF59" s="40"/>
      <c r="AG59" s="40"/>
      <c r="AH59" s="40"/>
      <c r="AI59" s="40"/>
      <c r="AJ59" s="40"/>
      <c r="AK59" s="40"/>
    </row>
    <row r="60" spans="1:42" x14ac:dyDescent="0.3">
      <c r="A60" s="44"/>
      <c r="B60" s="44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4"/>
      <c r="AA60" s="44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3"/>
      <c r="AN60" s="43"/>
      <c r="AO60" s="43"/>
      <c r="AP60" s="43"/>
    </row>
    <row r="61" spans="1:42" x14ac:dyDescent="0.3">
      <c r="B61" s="39"/>
      <c r="C61" s="40"/>
      <c r="D61" s="40"/>
      <c r="E61" s="40"/>
      <c r="F61" s="40"/>
      <c r="G61" s="40"/>
      <c r="H61" s="40"/>
      <c r="I61" s="40"/>
      <c r="J61" s="40"/>
      <c r="K61" s="40"/>
      <c r="L61" s="40"/>
      <c r="AA61" s="39"/>
      <c r="AB61" s="40"/>
      <c r="AC61" s="40"/>
      <c r="AD61" s="40"/>
      <c r="AE61" s="40"/>
      <c r="AF61" s="40"/>
      <c r="AG61" s="40"/>
      <c r="AH61" s="40"/>
      <c r="AI61" s="40"/>
      <c r="AJ61" s="40"/>
      <c r="AK61" s="40"/>
    </row>
    <row r="62" spans="1:42" x14ac:dyDescent="0.3">
      <c r="A62" s="44"/>
      <c r="B62" s="44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4"/>
      <c r="AA62" s="44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3"/>
      <c r="AN62" s="43"/>
      <c r="AO62" s="43"/>
      <c r="AP62" s="43"/>
    </row>
    <row r="63" spans="1:42" x14ac:dyDescent="0.3">
      <c r="B63" s="39"/>
      <c r="C63" s="40"/>
      <c r="D63" s="40"/>
      <c r="E63" s="40"/>
      <c r="F63" s="40"/>
      <c r="G63" s="40"/>
      <c r="H63" s="40"/>
      <c r="I63" s="40"/>
      <c r="J63" s="40"/>
      <c r="K63" s="40"/>
      <c r="L63" s="40"/>
      <c r="AA63" s="39"/>
      <c r="AB63" s="40"/>
      <c r="AC63" s="40"/>
      <c r="AD63" s="40"/>
      <c r="AE63" s="40"/>
      <c r="AF63" s="40"/>
      <c r="AG63" s="40"/>
      <c r="AH63" s="40"/>
      <c r="AI63" s="40"/>
      <c r="AJ63" s="40"/>
      <c r="AK63" s="40"/>
    </row>
    <row r="64" spans="1:42" x14ac:dyDescent="0.3">
      <c r="A64" s="44"/>
      <c r="B64" s="44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4"/>
      <c r="AA64" s="44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3"/>
      <c r="AN64" s="43"/>
      <c r="AO64" s="43"/>
      <c r="AP64" s="43"/>
    </row>
    <row r="65" spans="1:42" x14ac:dyDescent="0.3">
      <c r="B65" s="39"/>
      <c r="C65" s="40"/>
      <c r="D65" s="40"/>
      <c r="E65" s="40"/>
      <c r="F65" s="40"/>
      <c r="G65" s="40"/>
      <c r="H65" s="40"/>
      <c r="I65" s="40"/>
      <c r="J65" s="40"/>
      <c r="K65" s="40"/>
      <c r="L65" s="40"/>
      <c r="AA65" s="39"/>
      <c r="AB65" s="40"/>
      <c r="AC65" s="40"/>
      <c r="AD65" s="40"/>
      <c r="AE65" s="40"/>
      <c r="AF65" s="40"/>
      <c r="AG65" s="40"/>
      <c r="AH65" s="40"/>
      <c r="AI65" s="40"/>
      <c r="AJ65" s="40"/>
      <c r="AK65" s="40"/>
    </row>
    <row r="66" spans="1:42" x14ac:dyDescent="0.3">
      <c r="A66" s="44"/>
      <c r="B66" s="44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4"/>
      <c r="AA66" s="44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3"/>
      <c r="AN66" s="43"/>
      <c r="AO66" s="43"/>
      <c r="AP66" s="43"/>
    </row>
    <row r="67" spans="1:42" x14ac:dyDescent="0.3">
      <c r="B67" s="39"/>
      <c r="C67" s="40"/>
      <c r="D67" s="40"/>
      <c r="E67" s="40"/>
      <c r="F67" s="40"/>
      <c r="G67" s="40"/>
      <c r="H67" s="40"/>
      <c r="I67" s="40"/>
      <c r="J67" s="40"/>
      <c r="K67" s="40"/>
      <c r="L67" s="40"/>
      <c r="AA67" s="39"/>
      <c r="AB67" s="40"/>
      <c r="AC67" s="40"/>
      <c r="AD67" s="40"/>
      <c r="AE67" s="40"/>
      <c r="AF67" s="40"/>
      <c r="AG67" s="40"/>
      <c r="AH67" s="40"/>
      <c r="AI67" s="40"/>
      <c r="AJ67" s="40"/>
      <c r="AK67" s="40"/>
    </row>
    <row r="68" spans="1:42" x14ac:dyDescent="0.3">
      <c r="A68" s="44"/>
      <c r="B68" s="44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4"/>
      <c r="AA68" s="44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3"/>
      <c r="AN68" s="43"/>
      <c r="AO68" s="43"/>
      <c r="AP68" s="43"/>
    </row>
    <row r="69" spans="1:42" x14ac:dyDescent="0.3">
      <c r="B69" s="39"/>
      <c r="C69" s="40"/>
      <c r="D69" s="40"/>
      <c r="E69" s="40"/>
      <c r="F69" s="40"/>
      <c r="G69" s="40"/>
      <c r="H69" s="40"/>
      <c r="I69" s="40"/>
      <c r="J69" s="40"/>
      <c r="K69" s="40"/>
      <c r="L69" s="40"/>
      <c r="AA69" s="39"/>
      <c r="AB69" s="40"/>
      <c r="AC69" s="40"/>
      <c r="AD69" s="40"/>
      <c r="AE69" s="40"/>
      <c r="AF69" s="40"/>
      <c r="AG69" s="40"/>
      <c r="AH69" s="40"/>
      <c r="AI69" s="40"/>
      <c r="AJ69" s="40"/>
      <c r="AK69" s="40"/>
    </row>
    <row r="70" spans="1:42" x14ac:dyDescent="0.3">
      <c r="A70" s="44"/>
      <c r="B70" s="44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4"/>
      <c r="AA70" s="44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3"/>
      <c r="AN70" s="43"/>
      <c r="AO70" s="43"/>
      <c r="AP70" s="43"/>
    </row>
    <row r="71" spans="1:42" x14ac:dyDescent="0.3">
      <c r="B71" s="39"/>
      <c r="C71" s="40"/>
      <c r="D71" s="40"/>
      <c r="E71" s="40"/>
      <c r="F71" s="40"/>
      <c r="G71" s="40"/>
      <c r="H71" s="40"/>
      <c r="I71" s="40"/>
      <c r="J71" s="40"/>
      <c r="K71" s="40"/>
      <c r="L71" s="40"/>
      <c r="AA71" s="39"/>
      <c r="AB71" s="40"/>
      <c r="AC71" s="40"/>
      <c r="AD71" s="40"/>
      <c r="AE71" s="40"/>
      <c r="AF71" s="40"/>
      <c r="AG71" s="40"/>
      <c r="AH71" s="40"/>
      <c r="AI71" s="40"/>
      <c r="AJ71" s="40"/>
      <c r="AK71" s="40"/>
    </row>
    <row r="72" spans="1:42" x14ac:dyDescent="0.3">
      <c r="A72" s="44"/>
      <c r="B72" s="44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4"/>
      <c r="AA72" s="44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3"/>
      <c r="AN72" s="43"/>
      <c r="AO72" s="43"/>
      <c r="AP72" s="43"/>
    </row>
    <row r="73" spans="1:42" x14ac:dyDescent="0.3">
      <c r="B73" s="39"/>
      <c r="C73" s="40"/>
      <c r="D73" s="40"/>
      <c r="E73" s="40"/>
      <c r="F73" s="40"/>
      <c r="G73" s="40"/>
      <c r="H73" s="40"/>
      <c r="I73" s="40"/>
      <c r="J73" s="40"/>
      <c r="K73" s="40"/>
      <c r="L73" s="40"/>
      <c r="AA73" s="39"/>
      <c r="AB73" s="40"/>
      <c r="AC73" s="40"/>
      <c r="AD73" s="40"/>
      <c r="AE73" s="40"/>
      <c r="AF73" s="40"/>
      <c r="AG73" s="40"/>
      <c r="AH73" s="40"/>
      <c r="AI73" s="40"/>
      <c r="AJ73" s="40"/>
      <c r="AK73" s="40"/>
    </row>
    <row r="74" spans="1:42" x14ac:dyDescent="0.3">
      <c r="A74" s="44"/>
      <c r="B74" s="44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4"/>
      <c r="AA74" s="44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3"/>
      <c r="AN74" s="43"/>
      <c r="AO74" s="43"/>
      <c r="AP74" s="43"/>
    </row>
    <row r="75" spans="1:42" x14ac:dyDescent="0.3">
      <c r="B75" s="39"/>
      <c r="C75" s="40"/>
      <c r="D75" s="40"/>
      <c r="E75" s="40"/>
      <c r="F75" s="40"/>
      <c r="G75" s="40"/>
      <c r="H75" s="40"/>
      <c r="I75" s="40"/>
      <c r="J75" s="40"/>
      <c r="K75" s="40"/>
      <c r="L75" s="40"/>
      <c r="AA75" s="39"/>
      <c r="AB75" s="40"/>
      <c r="AC75" s="40"/>
      <c r="AD75" s="40"/>
      <c r="AE75" s="40"/>
      <c r="AF75" s="40"/>
      <c r="AG75" s="40"/>
      <c r="AH75" s="40"/>
      <c r="AI75" s="40"/>
      <c r="AJ75" s="40"/>
      <c r="AK75" s="40"/>
    </row>
    <row r="76" spans="1:42" x14ac:dyDescent="0.3">
      <c r="A76" s="44"/>
      <c r="B76" s="44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4"/>
      <c r="AA76" s="44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3"/>
      <c r="AN76" s="43"/>
      <c r="AO76" s="43"/>
      <c r="AP76" s="43"/>
    </row>
    <row r="77" spans="1:42" x14ac:dyDescent="0.3">
      <c r="B77" s="39"/>
      <c r="C77" s="40"/>
      <c r="D77" s="40"/>
      <c r="E77" s="40"/>
      <c r="F77" s="40"/>
      <c r="G77" s="40"/>
      <c r="H77" s="40"/>
      <c r="I77" s="40"/>
      <c r="J77" s="40"/>
      <c r="K77" s="40"/>
      <c r="L77" s="40"/>
      <c r="AA77" s="39"/>
      <c r="AB77" s="40"/>
      <c r="AC77" s="40"/>
      <c r="AD77" s="40"/>
      <c r="AE77" s="40"/>
      <c r="AF77" s="40"/>
      <c r="AG77" s="40"/>
      <c r="AH77" s="40"/>
      <c r="AI77" s="40"/>
      <c r="AJ77" s="40"/>
      <c r="AK77" s="40"/>
    </row>
    <row r="78" spans="1:42" x14ac:dyDescent="0.3">
      <c r="A78" s="44"/>
      <c r="B78" s="44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4"/>
      <c r="AA78" s="44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3"/>
      <c r="AN78" s="43"/>
      <c r="AO78" s="43"/>
      <c r="AP78" s="43"/>
    </row>
    <row r="79" spans="1:42" x14ac:dyDescent="0.3">
      <c r="B79" s="39"/>
      <c r="C79" s="40"/>
      <c r="D79" s="40"/>
      <c r="E79" s="40"/>
      <c r="F79" s="40"/>
      <c r="G79" s="40"/>
      <c r="H79" s="40"/>
      <c r="I79" s="40"/>
      <c r="J79" s="40"/>
      <c r="K79" s="40"/>
      <c r="L79" s="40"/>
      <c r="AA79" s="39"/>
      <c r="AB79" s="40"/>
      <c r="AC79" s="40"/>
      <c r="AD79" s="40"/>
      <c r="AE79" s="40"/>
      <c r="AF79" s="40"/>
      <c r="AG79" s="40"/>
      <c r="AH79" s="40"/>
      <c r="AI79" s="40"/>
      <c r="AJ79" s="40"/>
      <c r="AK79" s="40"/>
    </row>
    <row r="80" spans="1:42" x14ac:dyDescent="0.3">
      <c r="A80" s="44"/>
      <c r="B80" s="44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4"/>
      <c r="AA80" s="44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3"/>
      <c r="AN80" s="43"/>
      <c r="AO80" s="43"/>
      <c r="AP80" s="43"/>
    </row>
    <row r="81" spans="1:42" x14ac:dyDescent="0.3">
      <c r="B81" s="39"/>
      <c r="C81" s="40"/>
      <c r="D81" s="40"/>
      <c r="E81" s="40"/>
      <c r="F81" s="40"/>
      <c r="G81" s="40"/>
      <c r="H81" s="40"/>
      <c r="I81" s="40"/>
      <c r="J81" s="40"/>
      <c r="K81" s="40"/>
      <c r="L81" s="40"/>
      <c r="AA81" s="39"/>
      <c r="AB81" s="40"/>
      <c r="AC81" s="40"/>
      <c r="AD81" s="40"/>
      <c r="AE81" s="40"/>
      <c r="AF81" s="40"/>
      <c r="AG81" s="40"/>
      <c r="AH81" s="40"/>
      <c r="AI81" s="40"/>
      <c r="AJ81" s="40"/>
      <c r="AK81" s="40"/>
    </row>
    <row r="82" spans="1:42" x14ac:dyDescent="0.3">
      <c r="A82" s="44"/>
      <c r="B82" s="44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4"/>
      <c r="AA82" s="44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3"/>
      <c r="AN82" s="43"/>
      <c r="AO82" s="43"/>
      <c r="AP82" s="43"/>
    </row>
    <row r="83" spans="1:42" x14ac:dyDescent="0.3">
      <c r="B83" s="39"/>
      <c r="C83" s="40"/>
      <c r="D83" s="40"/>
      <c r="E83" s="40"/>
      <c r="F83" s="40"/>
      <c r="G83" s="40"/>
      <c r="H83" s="40"/>
      <c r="I83" s="40"/>
      <c r="J83" s="40"/>
      <c r="K83" s="40"/>
      <c r="L83" s="40"/>
      <c r="AA83" s="39"/>
      <c r="AB83" s="40"/>
      <c r="AC83" s="40"/>
      <c r="AD83" s="40"/>
      <c r="AE83" s="40"/>
      <c r="AF83" s="40"/>
      <c r="AG83" s="40"/>
      <c r="AH83" s="40"/>
      <c r="AI83" s="40"/>
      <c r="AJ83" s="40"/>
      <c r="AK83" s="40"/>
    </row>
    <row r="84" spans="1:42" x14ac:dyDescent="0.3">
      <c r="A84" s="44"/>
      <c r="B84" s="44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4"/>
      <c r="AA84" s="44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3"/>
      <c r="AN84" s="43"/>
      <c r="AO84" s="43"/>
      <c r="AP84" s="43"/>
    </row>
    <row r="85" spans="1:42" x14ac:dyDescent="0.3">
      <c r="B85" s="39"/>
      <c r="C85" s="40"/>
      <c r="D85" s="40"/>
      <c r="E85" s="40"/>
      <c r="F85" s="40"/>
      <c r="G85" s="40"/>
      <c r="H85" s="40"/>
      <c r="I85" s="40"/>
      <c r="J85" s="40"/>
      <c r="K85" s="40"/>
      <c r="L85" s="40"/>
      <c r="AA85" s="39"/>
      <c r="AB85" s="40"/>
      <c r="AC85" s="40"/>
      <c r="AD85" s="40"/>
      <c r="AE85" s="40"/>
      <c r="AF85" s="40"/>
      <c r="AG85" s="40"/>
      <c r="AH85" s="40"/>
      <c r="AI85" s="40"/>
      <c r="AJ85" s="40"/>
      <c r="AK85" s="40"/>
    </row>
    <row r="86" spans="1:42" x14ac:dyDescent="0.3">
      <c r="A86" s="44"/>
      <c r="B86" s="44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4"/>
      <c r="AA86" s="44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3"/>
      <c r="AN86" s="43"/>
      <c r="AO86" s="43"/>
      <c r="AP86" s="43"/>
    </row>
    <row r="87" spans="1:42" x14ac:dyDescent="0.3">
      <c r="B87" s="39"/>
      <c r="C87" s="40"/>
      <c r="D87" s="40"/>
      <c r="E87" s="40"/>
      <c r="F87" s="40"/>
      <c r="G87" s="40"/>
      <c r="H87" s="40"/>
      <c r="I87" s="40"/>
      <c r="J87" s="40"/>
      <c r="K87" s="40"/>
      <c r="L87" s="40"/>
      <c r="AA87" s="39"/>
      <c r="AB87" s="40"/>
      <c r="AC87" s="40"/>
      <c r="AD87" s="40"/>
      <c r="AE87" s="40"/>
      <c r="AF87" s="40"/>
      <c r="AG87" s="40"/>
      <c r="AH87" s="40"/>
      <c r="AI87" s="40"/>
      <c r="AJ87" s="40"/>
      <c r="AK87" s="40"/>
    </row>
    <row r="88" spans="1:42" x14ac:dyDescent="0.3">
      <c r="A88" s="44"/>
      <c r="B88" s="44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4"/>
      <c r="AA88" s="44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3"/>
      <c r="AN88" s="43"/>
      <c r="AO88" s="43"/>
      <c r="AP88" s="43"/>
    </row>
    <row r="89" spans="1:42" x14ac:dyDescent="0.3">
      <c r="B89" s="39"/>
      <c r="C89" s="40"/>
      <c r="D89" s="40"/>
      <c r="E89" s="40"/>
      <c r="F89" s="40"/>
      <c r="G89" s="40"/>
      <c r="H89" s="40"/>
      <c r="I89" s="40"/>
      <c r="J89" s="40"/>
      <c r="K89" s="40"/>
      <c r="L89" s="40"/>
      <c r="AA89" s="39"/>
      <c r="AB89" s="40"/>
      <c r="AC89" s="40"/>
      <c r="AD89" s="40"/>
      <c r="AE89" s="40"/>
      <c r="AF89" s="40"/>
      <c r="AG89" s="40"/>
      <c r="AH89" s="40"/>
      <c r="AI89" s="40"/>
      <c r="AJ89" s="40"/>
      <c r="AK89" s="40"/>
    </row>
    <row r="90" spans="1:42" x14ac:dyDescent="0.3">
      <c r="A90" s="44"/>
      <c r="B90" s="44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4"/>
      <c r="AA90" s="44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3"/>
      <c r="AN90" s="43"/>
      <c r="AO90" s="43"/>
      <c r="AP90" s="43"/>
    </row>
    <row r="91" spans="1:42" x14ac:dyDescent="0.3">
      <c r="B91" s="39"/>
      <c r="C91" s="40"/>
      <c r="D91" s="40"/>
      <c r="E91" s="40"/>
      <c r="F91" s="40"/>
      <c r="G91" s="40"/>
      <c r="H91" s="40"/>
      <c r="I91" s="40"/>
      <c r="J91" s="40"/>
      <c r="K91" s="40"/>
      <c r="L91" s="40"/>
      <c r="AA91" s="39"/>
      <c r="AB91" s="40"/>
      <c r="AC91" s="40"/>
      <c r="AD91" s="40"/>
      <c r="AE91" s="40"/>
      <c r="AF91" s="40"/>
      <c r="AG91" s="40"/>
      <c r="AH91" s="40"/>
      <c r="AI91" s="40"/>
      <c r="AJ91" s="40"/>
      <c r="AK91" s="40"/>
    </row>
    <row r="92" spans="1:42" x14ac:dyDescent="0.3">
      <c r="A92" s="44"/>
      <c r="B92" s="44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4"/>
      <c r="AA92" s="44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3"/>
      <c r="AN92" s="43"/>
      <c r="AO92" s="43"/>
      <c r="AP92" s="43"/>
    </row>
    <row r="93" spans="1:42" x14ac:dyDescent="0.3">
      <c r="B93" s="39"/>
      <c r="C93" s="40"/>
      <c r="D93" s="40"/>
      <c r="E93" s="40"/>
      <c r="F93" s="40"/>
      <c r="G93" s="40"/>
      <c r="H93" s="40"/>
      <c r="I93" s="40"/>
      <c r="J93" s="40"/>
      <c r="K93" s="40"/>
      <c r="L93" s="40"/>
      <c r="AA93" s="39"/>
      <c r="AB93" s="40"/>
      <c r="AC93" s="40"/>
      <c r="AD93" s="40"/>
      <c r="AE93" s="40"/>
      <c r="AF93" s="40"/>
      <c r="AG93" s="40"/>
      <c r="AH93" s="40"/>
      <c r="AI93" s="40"/>
      <c r="AJ93" s="40"/>
      <c r="AK93" s="40"/>
    </row>
    <row r="94" spans="1:42" x14ac:dyDescent="0.3">
      <c r="A94" s="44"/>
      <c r="B94" s="44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4"/>
      <c r="AA94" s="44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3"/>
      <c r="AN94" s="43"/>
      <c r="AO94" s="43"/>
      <c r="AP94" s="43"/>
    </row>
    <row r="95" spans="1:42" x14ac:dyDescent="0.3">
      <c r="B95" s="39"/>
      <c r="C95" s="40"/>
      <c r="D95" s="40"/>
      <c r="E95" s="40"/>
      <c r="F95" s="40"/>
      <c r="G95" s="40"/>
      <c r="H95" s="40"/>
      <c r="I95" s="40"/>
      <c r="J95" s="40"/>
      <c r="K95" s="40"/>
      <c r="L95" s="40"/>
      <c r="AA95" s="39"/>
      <c r="AB95" s="40"/>
      <c r="AC95" s="40"/>
      <c r="AD95" s="40"/>
      <c r="AE95" s="40"/>
      <c r="AF95" s="40"/>
      <c r="AG95" s="40"/>
      <c r="AH95" s="40"/>
      <c r="AI95" s="40"/>
      <c r="AJ95" s="40"/>
      <c r="AK95" s="40"/>
    </row>
    <row r="96" spans="1:42" x14ac:dyDescent="0.3">
      <c r="A96" s="44"/>
      <c r="B96" s="44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4"/>
      <c r="AA96" s="44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3"/>
      <c r="AN96" s="43"/>
      <c r="AO96" s="43"/>
      <c r="AP96" s="43"/>
    </row>
    <row r="97" spans="1:42" x14ac:dyDescent="0.3">
      <c r="B97" s="39"/>
      <c r="C97" s="40"/>
      <c r="D97" s="40"/>
      <c r="E97" s="40"/>
      <c r="F97" s="40"/>
      <c r="G97" s="40"/>
      <c r="H97" s="40"/>
      <c r="I97" s="40"/>
      <c r="J97" s="40"/>
      <c r="K97" s="40"/>
      <c r="L97" s="40"/>
      <c r="AA97" s="39"/>
      <c r="AB97" s="40"/>
      <c r="AC97" s="40"/>
      <c r="AD97" s="40"/>
      <c r="AE97" s="40"/>
      <c r="AF97" s="40"/>
      <c r="AG97" s="40"/>
      <c r="AH97" s="40"/>
      <c r="AI97" s="40"/>
      <c r="AJ97" s="40"/>
      <c r="AK97" s="40"/>
    </row>
    <row r="98" spans="1:42" x14ac:dyDescent="0.3">
      <c r="A98" s="44"/>
      <c r="B98" s="44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4"/>
      <c r="AA98" s="44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3"/>
      <c r="AN98" s="43"/>
      <c r="AO98" s="43"/>
      <c r="AP98" s="43"/>
    </row>
    <row r="99" spans="1:42" x14ac:dyDescent="0.3">
      <c r="B99" s="39"/>
      <c r="C99" s="40"/>
      <c r="D99" s="40"/>
      <c r="E99" s="40"/>
      <c r="F99" s="40"/>
      <c r="G99" s="40"/>
      <c r="H99" s="40"/>
      <c r="I99" s="40"/>
      <c r="J99" s="40"/>
      <c r="K99" s="40"/>
      <c r="L99" s="40"/>
      <c r="AA99" s="39"/>
      <c r="AB99" s="40"/>
      <c r="AC99" s="40"/>
      <c r="AD99" s="40"/>
      <c r="AE99" s="40"/>
      <c r="AF99" s="40"/>
      <c r="AG99" s="40"/>
      <c r="AH99" s="40"/>
      <c r="AI99" s="40"/>
      <c r="AJ99" s="40"/>
      <c r="AK99" s="40"/>
    </row>
    <row r="100" spans="1:42" x14ac:dyDescent="0.3">
      <c r="A100" s="44"/>
      <c r="B100" s="44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4"/>
      <c r="AA100" s="44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3"/>
      <c r="AN100" s="43"/>
      <c r="AO100" s="43"/>
      <c r="AP100" s="43"/>
    </row>
    <row r="101" spans="1:42" x14ac:dyDescent="0.3">
      <c r="B101" s="39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AA101" s="39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</row>
    <row r="102" spans="1:42" x14ac:dyDescent="0.3">
      <c r="A102" s="44"/>
      <c r="B102" s="44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4"/>
      <c r="AA102" s="44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  <c r="AL102" s="45"/>
      <c r="AM102" s="43"/>
      <c r="AN102" s="43"/>
      <c r="AO102" s="43"/>
      <c r="AP102" s="43"/>
    </row>
    <row r="103" spans="1:42" x14ac:dyDescent="0.3">
      <c r="B103" s="39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AA103" s="39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</row>
    <row r="104" spans="1:42" x14ac:dyDescent="0.3">
      <c r="A104" s="44"/>
      <c r="B104" s="44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4"/>
      <c r="AA104" s="44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  <c r="AL104" s="45"/>
      <c r="AM104" s="43"/>
      <c r="AN104" s="43"/>
      <c r="AO104" s="43"/>
      <c r="AP104" s="43"/>
    </row>
    <row r="105" spans="1:42" x14ac:dyDescent="0.3">
      <c r="B105" s="39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AA105" s="39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</row>
    <row r="106" spans="1:42" x14ac:dyDescent="0.3">
      <c r="A106" s="44"/>
      <c r="B106" s="44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4"/>
      <c r="AA106" s="44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5"/>
      <c r="AM106" s="43"/>
      <c r="AN106" s="43"/>
      <c r="AO106" s="43"/>
      <c r="AP106" s="43"/>
    </row>
    <row r="107" spans="1:42" x14ac:dyDescent="0.3">
      <c r="B107" s="39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AA107" s="39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</row>
    <row r="108" spans="1:42" x14ac:dyDescent="0.3">
      <c r="A108" s="44"/>
      <c r="B108" s="44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4"/>
      <c r="AA108" s="44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3"/>
      <c r="AN108" s="43"/>
      <c r="AO108" s="43"/>
      <c r="AP108" s="43"/>
    </row>
    <row r="109" spans="1:42" x14ac:dyDescent="0.3">
      <c r="B109" s="39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AA109" s="39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</row>
    <row r="110" spans="1:42" x14ac:dyDescent="0.3">
      <c r="A110" s="44"/>
      <c r="B110" s="44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4"/>
      <c r="AA110" s="44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3"/>
      <c r="AN110" s="43"/>
      <c r="AO110" s="43"/>
      <c r="AP110" s="43"/>
    </row>
    <row r="111" spans="1:42" x14ac:dyDescent="0.3">
      <c r="B111" s="39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AA111" s="39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</row>
    <row r="112" spans="1:42" x14ac:dyDescent="0.3">
      <c r="A112" s="44"/>
      <c r="B112" s="44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4"/>
      <c r="AA112" s="44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3"/>
      <c r="AN112" s="43"/>
      <c r="AO112" s="43"/>
      <c r="AP112" s="43"/>
    </row>
    <row r="113" spans="1:42" x14ac:dyDescent="0.3">
      <c r="B113" s="39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AA113" s="39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</row>
    <row r="114" spans="1:42" x14ac:dyDescent="0.3">
      <c r="A114" s="44"/>
      <c r="B114" s="44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4"/>
      <c r="AA114" s="44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3"/>
      <c r="AN114" s="43"/>
      <c r="AO114" s="43"/>
      <c r="AP114" s="43"/>
    </row>
    <row r="115" spans="1:42" x14ac:dyDescent="0.3">
      <c r="B115" s="39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AA115" s="39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</row>
    <row r="116" spans="1:42" x14ac:dyDescent="0.3">
      <c r="A116" s="44"/>
      <c r="B116" s="44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4"/>
      <c r="AA116" s="44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3"/>
      <c r="AN116" s="43"/>
      <c r="AO116" s="43"/>
      <c r="AP116" s="43"/>
    </row>
    <row r="117" spans="1:42" x14ac:dyDescent="0.3">
      <c r="B117" s="39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AA117" s="39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</row>
    <row r="118" spans="1:42" x14ac:dyDescent="0.3">
      <c r="A118" s="44"/>
      <c r="B118" s="44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4"/>
      <c r="AA118" s="44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3"/>
      <c r="AN118" s="43"/>
      <c r="AO118" s="43"/>
      <c r="AP118" s="43"/>
    </row>
    <row r="119" spans="1:42" x14ac:dyDescent="0.3">
      <c r="B119" s="39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AA119" s="39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</row>
    <row r="120" spans="1:42" x14ac:dyDescent="0.3">
      <c r="A120" s="44"/>
      <c r="B120" s="44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4"/>
      <c r="AA120" s="44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3"/>
      <c r="AN120" s="43"/>
      <c r="AO120" s="43"/>
      <c r="AP120" s="43"/>
    </row>
    <row r="121" spans="1:42" x14ac:dyDescent="0.3">
      <c r="B121" s="39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AA121" s="39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</row>
    <row r="122" spans="1:42" x14ac:dyDescent="0.3">
      <c r="A122" s="44"/>
      <c r="B122" s="44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4"/>
      <c r="AA122" s="44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3"/>
      <c r="AN122" s="43"/>
      <c r="AO122" s="43"/>
      <c r="AP122" s="43"/>
    </row>
    <row r="123" spans="1:42" x14ac:dyDescent="0.3">
      <c r="B123" s="39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AA123" s="39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</row>
    <row r="124" spans="1:42" x14ac:dyDescent="0.3">
      <c r="A124" s="44"/>
      <c r="B124" s="44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4"/>
      <c r="AA124" s="44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3"/>
      <c r="AN124" s="43"/>
      <c r="AO124" s="43"/>
      <c r="AP124" s="43"/>
    </row>
    <row r="125" spans="1:42" x14ac:dyDescent="0.3">
      <c r="B125" s="39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AA125" s="39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</row>
    <row r="126" spans="1:42" x14ac:dyDescent="0.3">
      <c r="A126" s="44"/>
      <c r="B126" s="44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4"/>
      <c r="AA126" s="44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3"/>
      <c r="AN126" s="43"/>
      <c r="AO126" s="43"/>
      <c r="AP126" s="43"/>
    </row>
    <row r="127" spans="1:42" x14ac:dyDescent="0.3">
      <c r="B127" s="39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AA127" s="39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</row>
    <row r="128" spans="1:42" x14ac:dyDescent="0.3">
      <c r="A128" s="44"/>
      <c r="B128" s="44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4"/>
      <c r="AA128" s="44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3"/>
      <c r="AN128" s="43"/>
      <c r="AO128" s="43"/>
      <c r="AP128" s="43"/>
    </row>
    <row r="129" spans="1:42" x14ac:dyDescent="0.3">
      <c r="B129" s="39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AA129" s="39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</row>
    <row r="130" spans="1:42" x14ac:dyDescent="0.3">
      <c r="A130" s="44"/>
      <c r="B130" s="44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4"/>
      <c r="AA130" s="44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3"/>
      <c r="AN130" s="43"/>
      <c r="AO130" s="43"/>
      <c r="AP130" s="43"/>
    </row>
    <row r="131" spans="1:42" x14ac:dyDescent="0.3">
      <c r="B131" s="39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AA131" s="39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</row>
    <row r="132" spans="1:42" x14ac:dyDescent="0.3">
      <c r="A132" s="44"/>
      <c r="B132" s="44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4"/>
      <c r="AA132" s="44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3"/>
      <c r="AN132" s="43"/>
      <c r="AO132" s="43"/>
      <c r="AP132" s="43"/>
    </row>
    <row r="133" spans="1:42" x14ac:dyDescent="0.3">
      <c r="B133" s="39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AA133" s="39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</row>
    <row r="134" spans="1:42" x14ac:dyDescent="0.3">
      <c r="A134" s="44"/>
      <c r="B134" s="44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4"/>
      <c r="AA134" s="44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3"/>
      <c r="AN134" s="43"/>
      <c r="AO134" s="43"/>
      <c r="AP134" s="43"/>
    </row>
    <row r="135" spans="1:42" x14ac:dyDescent="0.3">
      <c r="B135" s="39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AA135" s="39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</row>
    <row r="136" spans="1:42" x14ac:dyDescent="0.3">
      <c r="A136" s="44"/>
      <c r="B136" s="44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4"/>
      <c r="AA136" s="44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3"/>
      <c r="AN136" s="43"/>
      <c r="AO136" s="43"/>
      <c r="AP136" s="43"/>
    </row>
    <row r="137" spans="1:42" x14ac:dyDescent="0.3">
      <c r="B137" s="39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AA137" s="39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</row>
    <row r="138" spans="1:42" x14ac:dyDescent="0.3">
      <c r="A138" s="44"/>
      <c r="B138" s="44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4"/>
      <c r="AA138" s="44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3"/>
      <c r="AN138" s="43"/>
      <c r="AO138" s="43"/>
      <c r="AP138" s="43"/>
    </row>
    <row r="139" spans="1:42" x14ac:dyDescent="0.3">
      <c r="B139" s="39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AA139" s="39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</row>
    <row r="140" spans="1:42" x14ac:dyDescent="0.3">
      <c r="A140" s="44"/>
      <c r="B140" s="44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4"/>
      <c r="AA140" s="44"/>
      <c r="AB140" s="45"/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3"/>
      <c r="AN140" s="43"/>
      <c r="AO140" s="43"/>
      <c r="AP140" s="43"/>
    </row>
    <row r="141" spans="1:42" x14ac:dyDescent="0.3">
      <c r="B141" s="39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AA141" s="39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</row>
    <row r="142" spans="1:42" x14ac:dyDescent="0.3">
      <c r="A142" s="44"/>
      <c r="B142" s="44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4"/>
      <c r="AA142" s="44"/>
      <c r="AB142" s="45"/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3"/>
      <c r="AN142" s="43"/>
      <c r="AO142" s="43"/>
      <c r="AP142" s="43"/>
    </row>
    <row r="143" spans="1:42" x14ac:dyDescent="0.3">
      <c r="B143" s="39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AA143" s="39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</row>
    <row r="144" spans="1:42" x14ac:dyDescent="0.3">
      <c r="A144" s="44"/>
      <c r="B144" s="44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4"/>
      <c r="AA144" s="44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3"/>
      <c r="AN144" s="43"/>
      <c r="AO144" s="43"/>
      <c r="AP144" s="43"/>
    </row>
    <row r="145" spans="1:42" x14ac:dyDescent="0.3">
      <c r="B145" s="39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AA145" s="39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</row>
    <row r="146" spans="1:42" x14ac:dyDescent="0.3">
      <c r="A146" s="44"/>
      <c r="B146" s="44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4"/>
      <c r="AA146" s="44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3"/>
      <c r="AN146" s="43"/>
      <c r="AO146" s="43"/>
      <c r="AP146" s="43"/>
    </row>
    <row r="147" spans="1:42" x14ac:dyDescent="0.3">
      <c r="B147" s="39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AA147" s="39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</row>
    <row r="148" spans="1:42" x14ac:dyDescent="0.3">
      <c r="A148" s="44"/>
      <c r="B148" s="44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4"/>
      <c r="AA148" s="44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3"/>
      <c r="AN148" s="43"/>
      <c r="AO148" s="43"/>
      <c r="AP148" s="43"/>
    </row>
    <row r="149" spans="1:42" x14ac:dyDescent="0.3">
      <c r="B149" s="39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AA149" s="39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</row>
    <row r="150" spans="1:42" x14ac:dyDescent="0.3">
      <c r="A150" s="44"/>
      <c r="B150" s="44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4"/>
      <c r="AA150" s="44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5"/>
      <c r="AM150" s="43"/>
      <c r="AN150" s="43"/>
      <c r="AO150" s="43"/>
      <c r="AP150" s="43"/>
    </row>
    <row r="151" spans="1:42" x14ac:dyDescent="0.3">
      <c r="B151" s="39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AA151" s="39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</row>
    <row r="152" spans="1:42" x14ac:dyDescent="0.3">
      <c r="A152" s="44"/>
      <c r="B152" s="44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4"/>
      <c r="AA152" s="44"/>
      <c r="AB152" s="45"/>
      <c r="AC152" s="45"/>
      <c r="AD152" s="45"/>
      <c r="AE152" s="45"/>
      <c r="AF152" s="45"/>
      <c r="AG152" s="45"/>
      <c r="AH152" s="45"/>
      <c r="AI152" s="45"/>
      <c r="AJ152" s="45"/>
      <c r="AK152" s="45"/>
      <c r="AL152" s="45"/>
      <c r="AM152" s="43"/>
      <c r="AN152" s="43"/>
      <c r="AO152" s="43"/>
      <c r="AP152" s="43"/>
    </row>
    <row r="153" spans="1:42" x14ac:dyDescent="0.3">
      <c r="B153" s="39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AA153" s="39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</row>
    <row r="154" spans="1:42" x14ac:dyDescent="0.3">
      <c r="A154" s="44"/>
      <c r="B154" s="44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4"/>
      <c r="AA154" s="44"/>
      <c r="AB154" s="45"/>
      <c r="AC154" s="45"/>
      <c r="AD154" s="45"/>
      <c r="AE154" s="45"/>
      <c r="AF154" s="45"/>
      <c r="AG154" s="45"/>
      <c r="AH154" s="45"/>
      <c r="AI154" s="45"/>
      <c r="AJ154" s="45"/>
      <c r="AK154" s="45"/>
      <c r="AL154" s="45"/>
      <c r="AM154" s="43"/>
      <c r="AN154" s="43"/>
      <c r="AO154" s="43"/>
      <c r="AP154" s="43"/>
    </row>
    <row r="155" spans="1:42" x14ac:dyDescent="0.3">
      <c r="B155" s="39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AA155" s="39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</row>
    <row r="156" spans="1:42" x14ac:dyDescent="0.3">
      <c r="A156" s="44"/>
      <c r="B156" s="44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4"/>
      <c r="AA156" s="44"/>
      <c r="AB156" s="45"/>
      <c r="AC156" s="45"/>
      <c r="AD156" s="45"/>
      <c r="AE156" s="45"/>
      <c r="AF156" s="45"/>
      <c r="AG156" s="45"/>
      <c r="AH156" s="45"/>
      <c r="AI156" s="45"/>
      <c r="AJ156" s="45"/>
      <c r="AK156" s="45"/>
      <c r="AL156" s="45"/>
      <c r="AM156" s="43"/>
      <c r="AN156" s="43"/>
      <c r="AO156" s="43"/>
      <c r="AP156" s="43"/>
    </row>
    <row r="157" spans="1:42" x14ac:dyDescent="0.3">
      <c r="B157" s="39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AA157" s="39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</row>
    <row r="158" spans="1:42" x14ac:dyDescent="0.3">
      <c r="A158" s="44"/>
      <c r="B158" s="44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4"/>
      <c r="AA158" s="44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3"/>
      <c r="AN158" s="43"/>
      <c r="AO158" s="43"/>
      <c r="AP158" s="43"/>
    </row>
    <row r="159" spans="1:42" x14ac:dyDescent="0.3">
      <c r="B159" s="39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AA159" s="39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</row>
    <row r="160" spans="1:42" x14ac:dyDescent="0.3">
      <c r="A160" s="44"/>
      <c r="B160" s="44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4"/>
      <c r="AA160" s="44"/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5"/>
      <c r="AM160" s="43"/>
      <c r="AN160" s="43"/>
      <c r="AO160" s="43"/>
      <c r="AP160" s="43"/>
    </row>
    <row r="161" spans="1:42" x14ac:dyDescent="0.3">
      <c r="B161" s="39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AA161" s="39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</row>
    <row r="162" spans="1:42" x14ac:dyDescent="0.3">
      <c r="A162" s="44"/>
      <c r="B162" s="44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4"/>
      <c r="AA162" s="44"/>
      <c r="AB162" s="45"/>
      <c r="AC162" s="45"/>
      <c r="AD162" s="45"/>
      <c r="AE162" s="45"/>
      <c r="AF162" s="45"/>
      <c r="AG162" s="45"/>
      <c r="AH162" s="45"/>
      <c r="AI162" s="45"/>
      <c r="AJ162" s="45"/>
      <c r="AK162" s="45"/>
      <c r="AL162" s="45"/>
      <c r="AM162" s="43"/>
      <c r="AN162" s="43"/>
      <c r="AO162" s="43"/>
      <c r="AP162" s="43"/>
    </row>
    <row r="163" spans="1:42" x14ac:dyDescent="0.3">
      <c r="B163" s="39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AA163" s="39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</row>
    <row r="164" spans="1:42" x14ac:dyDescent="0.3">
      <c r="A164" s="44"/>
      <c r="B164" s="44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4"/>
      <c r="AA164" s="44"/>
      <c r="AB164" s="45"/>
      <c r="AC164" s="45"/>
      <c r="AD164" s="45"/>
      <c r="AE164" s="45"/>
      <c r="AF164" s="45"/>
      <c r="AG164" s="45"/>
      <c r="AH164" s="45"/>
      <c r="AI164" s="45"/>
      <c r="AJ164" s="45"/>
      <c r="AK164" s="45"/>
      <c r="AL164" s="45"/>
      <c r="AM164" s="43"/>
      <c r="AN164" s="43"/>
      <c r="AO164" s="43"/>
      <c r="AP164" s="43"/>
    </row>
    <row r="165" spans="1:42" x14ac:dyDescent="0.3">
      <c r="B165" s="39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AA165" s="39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</row>
    <row r="166" spans="1:42" x14ac:dyDescent="0.3">
      <c r="A166" s="44"/>
      <c r="B166" s="44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4"/>
      <c r="AA166" s="44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3"/>
      <c r="AN166" s="43"/>
      <c r="AO166" s="43"/>
      <c r="AP166" s="43"/>
    </row>
    <row r="167" spans="1:42" x14ac:dyDescent="0.3">
      <c r="B167" s="39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AA167" s="39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</row>
    <row r="168" spans="1:42" x14ac:dyDescent="0.3">
      <c r="A168" s="44"/>
      <c r="B168" s="44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4"/>
      <c r="AA168" s="44"/>
      <c r="AB168" s="45"/>
      <c r="AC168" s="45"/>
      <c r="AD168" s="45"/>
      <c r="AE168" s="45"/>
      <c r="AF168" s="45"/>
      <c r="AG168" s="45"/>
      <c r="AH168" s="45"/>
      <c r="AI168" s="45"/>
      <c r="AJ168" s="45"/>
      <c r="AK168" s="45"/>
      <c r="AL168" s="45"/>
      <c r="AM168" s="43"/>
      <c r="AN168" s="43"/>
      <c r="AO168" s="43"/>
      <c r="AP168" s="43"/>
    </row>
    <row r="169" spans="1:42" x14ac:dyDescent="0.3">
      <c r="B169" s="39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AA169" s="39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</row>
    <row r="170" spans="1:42" x14ac:dyDescent="0.3">
      <c r="A170" s="44"/>
      <c r="B170" s="44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4"/>
      <c r="AA170" s="44"/>
      <c r="AB170" s="45"/>
      <c r="AC170" s="45"/>
      <c r="AD170" s="45"/>
      <c r="AE170" s="45"/>
      <c r="AF170" s="45"/>
      <c r="AG170" s="45"/>
      <c r="AH170" s="45"/>
      <c r="AI170" s="45"/>
      <c r="AJ170" s="45"/>
      <c r="AK170" s="45"/>
      <c r="AL170" s="45"/>
      <c r="AM170" s="43"/>
      <c r="AN170" s="43"/>
      <c r="AO170" s="43"/>
      <c r="AP170" s="43"/>
    </row>
    <row r="171" spans="1:42" x14ac:dyDescent="0.3">
      <c r="B171" s="39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AA171" s="39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</row>
    <row r="172" spans="1:42" x14ac:dyDescent="0.3">
      <c r="A172" s="44"/>
      <c r="B172" s="44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4"/>
      <c r="AA172" s="44"/>
      <c r="AB172" s="45"/>
      <c r="AC172" s="45"/>
      <c r="AD172" s="45"/>
      <c r="AE172" s="45"/>
      <c r="AF172" s="45"/>
      <c r="AG172" s="45"/>
      <c r="AH172" s="45"/>
      <c r="AI172" s="45"/>
      <c r="AJ172" s="45"/>
      <c r="AK172" s="45"/>
      <c r="AL172" s="45"/>
      <c r="AM172" s="43"/>
      <c r="AN172" s="43"/>
      <c r="AO172" s="43"/>
      <c r="AP172" s="43"/>
    </row>
    <row r="173" spans="1:42" x14ac:dyDescent="0.3">
      <c r="B173" s="39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AA173" s="39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</row>
    <row r="174" spans="1:42" x14ac:dyDescent="0.3">
      <c r="A174" s="44"/>
      <c r="B174" s="44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4"/>
      <c r="AA174" s="44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3"/>
      <c r="AN174" s="43"/>
      <c r="AO174" s="43"/>
      <c r="AP174" s="43"/>
    </row>
    <row r="175" spans="1:42" x14ac:dyDescent="0.3">
      <c r="B175" s="39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AA175" s="39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</row>
    <row r="176" spans="1:42" x14ac:dyDescent="0.3">
      <c r="A176" s="44"/>
      <c r="B176" s="44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4"/>
      <c r="AA176" s="44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5"/>
      <c r="AM176" s="43"/>
      <c r="AN176" s="43"/>
      <c r="AO176" s="43"/>
      <c r="AP176" s="43"/>
    </row>
    <row r="177" spans="1:42" x14ac:dyDescent="0.3">
      <c r="B177" s="39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AA177" s="39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</row>
    <row r="178" spans="1:42" x14ac:dyDescent="0.3">
      <c r="A178" s="44"/>
      <c r="B178" s="44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4"/>
      <c r="AA178" s="44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3"/>
      <c r="AN178" s="43"/>
      <c r="AO178" s="43"/>
      <c r="AP178" s="43"/>
    </row>
    <row r="179" spans="1:42" x14ac:dyDescent="0.3">
      <c r="B179" s="39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AA179" s="39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</row>
    <row r="180" spans="1:42" x14ac:dyDescent="0.3">
      <c r="A180" s="44"/>
      <c r="B180" s="44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4"/>
      <c r="AA180" s="44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3"/>
      <c r="AN180" s="43"/>
      <c r="AO180" s="43"/>
      <c r="AP180" s="43"/>
    </row>
    <row r="181" spans="1:42" x14ac:dyDescent="0.3">
      <c r="B181" s="39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AA181" s="39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</row>
    <row r="182" spans="1:42" x14ac:dyDescent="0.3">
      <c r="A182" s="44"/>
      <c r="B182" s="44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4"/>
      <c r="AA182" s="44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3"/>
      <c r="AN182" s="43"/>
      <c r="AO182" s="43"/>
      <c r="AP182" s="43"/>
    </row>
    <row r="183" spans="1:42" x14ac:dyDescent="0.3">
      <c r="B183" s="39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AA183" s="39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</row>
    <row r="184" spans="1:42" x14ac:dyDescent="0.3">
      <c r="A184" s="44"/>
      <c r="B184" s="44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4"/>
      <c r="AA184" s="44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3"/>
      <c r="AN184" s="43"/>
      <c r="AO184" s="43"/>
      <c r="AP184" s="43"/>
    </row>
    <row r="185" spans="1:42" x14ac:dyDescent="0.3">
      <c r="B185" s="39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AA185" s="39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</row>
    <row r="186" spans="1:42" x14ac:dyDescent="0.3">
      <c r="A186" s="44"/>
      <c r="B186" s="44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4"/>
      <c r="AA186" s="44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3"/>
      <c r="AN186" s="43"/>
      <c r="AO186" s="43"/>
      <c r="AP186" s="43"/>
    </row>
    <row r="187" spans="1:42" x14ac:dyDescent="0.3">
      <c r="B187" s="39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AA187" s="39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</row>
    <row r="188" spans="1:42" x14ac:dyDescent="0.3">
      <c r="A188" s="44"/>
      <c r="B188" s="44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4"/>
      <c r="AA188" s="44"/>
      <c r="AB188" s="45"/>
      <c r="AC188" s="45"/>
      <c r="AD188" s="45"/>
      <c r="AE188" s="45"/>
      <c r="AF188" s="45"/>
      <c r="AG188" s="45"/>
      <c r="AH188" s="45"/>
      <c r="AI188" s="45"/>
      <c r="AJ188" s="45"/>
      <c r="AK188" s="45"/>
      <c r="AL188" s="45"/>
      <c r="AM188" s="43"/>
      <c r="AN188" s="43"/>
      <c r="AO188" s="43"/>
      <c r="AP188" s="43"/>
    </row>
    <row r="189" spans="1:42" x14ac:dyDescent="0.3">
      <c r="B189" s="39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AA189" s="39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</row>
    <row r="190" spans="1:42" x14ac:dyDescent="0.3">
      <c r="A190" s="44"/>
      <c r="B190" s="44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4"/>
      <c r="AA190" s="44"/>
      <c r="AB190" s="45"/>
      <c r="AC190" s="45"/>
      <c r="AD190" s="45"/>
      <c r="AE190" s="45"/>
      <c r="AF190" s="45"/>
      <c r="AG190" s="45"/>
      <c r="AH190" s="45"/>
      <c r="AI190" s="45"/>
      <c r="AJ190" s="45"/>
      <c r="AK190" s="45"/>
      <c r="AL190" s="45"/>
      <c r="AM190" s="43"/>
      <c r="AN190" s="43"/>
      <c r="AO190" s="43"/>
      <c r="AP190" s="43"/>
    </row>
    <row r="191" spans="1:42" x14ac:dyDescent="0.3">
      <c r="B191" s="39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AA191" s="39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</row>
    <row r="192" spans="1:42" x14ac:dyDescent="0.3">
      <c r="A192" s="44"/>
      <c r="B192" s="44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4"/>
      <c r="AA192" s="44"/>
      <c r="AB192" s="45"/>
      <c r="AC192" s="45"/>
      <c r="AD192" s="45"/>
      <c r="AE192" s="45"/>
      <c r="AF192" s="45"/>
      <c r="AG192" s="45"/>
      <c r="AH192" s="45"/>
      <c r="AI192" s="45"/>
      <c r="AJ192" s="45"/>
      <c r="AK192" s="45"/>
      <c r="AL192" s="45"/>
      <c r="AM192" s="43"/>
      <c r="AN192" s="43"/>
      <c r="AO192" s="43"/>
      <c r="AP192" s="43"/>
    </row>
    <row r="193" spans="1:42" x14ac:dyDescent="0.3">
      <c r="B193" s="39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AA193" s="39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</row>
    <row r="194" spans="1:42" x14ac:dyDescent="0.3">
      <c r="A194" s="44"/>
      <c r="B194" s="44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4"/>
      <c r="AA194" s="44"/>
      <c r="AB194" s="45"/>
      <c r="AC194" s="45"/>
      <c r="AD194" s="45"/>
      <c r="AE194" s="45"/>
      <c r="AF194" s="45"/>
      <c r="AG194" s="45"/>
      <c r="AH194" s="45"/>
      <c r="AI194" s="45"/>
      <c r="AJ194" s="45"/>
      <c r="AK194" s="45"/>
      <c r="AL194" s="45"/>
      <c r="AM194" s="43"/>
      <c r="AN194" s="43"/>
      <c r="AO194" s="43"/>
      <c r="AP194" s="43"/>
    </row>
    <row r="195" spans="1:42" x14ac:dyDescent="0.3">
      <c r="B195" s="39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AA195" s="39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</row>
    <row r="196" spans="1:42" x14ac:dyDescent="0.3">
      <c r="A196" s="44"/>
      <c r="B196" s="44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4"/>
      <c r="AA196" s="44"/>
      <c r="AB196" s="45"/>
      <c r="AC196" s="45"/>
      <c r="AD196" s="45"/>
      <c r="AE196" s="45"/>
      <c r="AF196" s="45"/>
      <c r="AG196" s="45"/>
      <c r="AH196" s="45"/>
      <c r="AI196" s="45"/>
      <c r="AJ196" s="45"/>
      <c r="AK196" s="45"/>
      <c r="AL196" s="45"/>
      <c r="AM196" s="43"/>
      <c r="AN196" s="43"/>
      <c r="AO196" s="43"/>
      <c r="AP196" s="43"/>
    </row>
    <row r="197" spans="1:42" x14ac:dyDescent="0.3">
      <c r="B197" s="39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AA197" s="39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</row>
    <row r="198" spans="1:42" x14ac:dyDescent="0.3">
      <c r="A198" s="44"/>
      <c r="B198" s="44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4"/>
      <c r="AA198" s="44"/>
      <c r="AB198" s="45"/>
      <c r="AC198" s="45"/>
      <c r="AD198" s="45"/>
      <c r="AE198" s="45"/>
      <c r="AF198" s="45"/>
      <c r="AG198" s="45"/>
      <c r="AH198" s="45"/>
      <c r="AI198" s="45"/>
      <c r="AJ198" s="45"/>
      <c r="AK198" s="45"/>
      <c r="AL198" s="45"/>
      <c r="AM198" s="43"/>
      <c r="AN198" s="43"/>
      <c r="AO198" s="43"/>
      <c r="AP198" s="43"/>
    </row>
    <row r="199" spans="1:42" x14ac:dyDescent="0.3">
      <c r="B199" s="39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AA199" s="39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</row>
    <row r="200" spans="1:42" x14ac:dyDescent="0.3">
      <c r="A200" s="44"/>
      <c r="B200" s="44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4"/>
      <c r="AA200" s="44"/>
      <c r="AB200" s="45"/>
      <c r="AC200" s="45"/>
      <c r="AD200" s="45"/>
      <c r="AE200" s="45"/>
      <c r="AF200" s="45"/>
      <c r="AG200" s="45"/>
      <c r="AH200" s="45"/>
      <c r="AI200" s="45"/>
      <c r="AJ200" s="45"/>
      <c r="AK200" s="45"/>
      <c r="AL200" s="45"/>
      <c r="AM200" s="43"/>
      <c r="AN200" s="43"/>
      <c r="AO200" s="43"/>
      <c r="AP200" s="43"/>
    </row>
    <row r="201" spans="1:42" x14ac:dyDescent="0.3">
      <c r="B201" s="39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AA201" s="39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</row>
    <row r="202" spans="1:42" x14ac:dyDescent="0.3">
      <c r="A202" s="44"/>
      <c r="B202" s="44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4"/>
      <c r="AA202" s="44"/>
      <c r="AB202" s="45"/>
      <c r="AC202" s="45"/>
      <c r="AD202" s="45"/>
      <c r="AE202" s="45"/>
      <c r="AF202" s="45"/>
      <c r="AG202" s="45"/>
      <c r="AH202" s="45"/>
      <c r="AI202" s="45"/>
      <c r="AJ202" s="45"/>
      <c r="AK202" s="45"/>
      <c r="AL202" s="45"/>
      <c r="AM202" s="43"/>
      <c r="AN202" s="43"/>
      <c r="AO202" s="43"/>
      <c r="AP202" s="43"/>
    </row>
    <row r="203" spans="1:42" x14ac:dyDescent="0.3">
      <c r="B203" s="39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AA203" s="39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</row>
    <row r="204" spans="1:42" x14ac:dyDescent="0.3">
      <c r="A204" s="44"/>
      <c r="B204" s="44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4"/>
      <c r="AA204" s="44"/>
      <c r="AB204" s="45"/>
      <c r="AC204" s="45"/>
      <c r="AD204" s="45"/>
      <c r="AE204" s="45"/>
      <c r="AF204" s="45"/>
      <c r="AG204" s="45"/>
      <c r="AH204" s="45"/>
      <c r="AI204" s="45"/>
      <c r="AJ204" s="45"/>
      <c r="AK204" s="45"/>
      <c r="AL204" s="45"/>
      <c r="AM204" s="43"/>
      <c r="AN204" s="43"/>
      <c r="AO204" s="43"/>
      <c r="AP204" s="43"/>
    </row>
    <row r="205" spans="1:42" x14ac:dyDescent="0.3">
      <c r="B205" s="39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AA205" s="39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</row>
    <row r="206" spans="1:42" x14ac:dyDescent="0.3">
      <c r="A206" s="44"/>
      <c r="B206" s="44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4"/>
      <c r="AA206" s="44"/>
      <c r="AB206" s="45"/>
      <c r="AC206" s="45"/>
      <c r="AD206" s="45"/>
      <c r="AE206" s="45"/>
      <c r="AF206" s="45"/>
      <c r="AG206" s="45"/>
      <c r="AH206" s="45"/>
      <c r="AI206" s="45"/>
      <c r="AJ206" s="45"/>
      <c r="AK206" s="45"/>
      <c r="AL206" s="45"/>
      <c r="AM206" s="43"/>
      <c r="AN206" s="43"/>
      <c r="AO206" s="43"/>
      <c r="AP206" s="43"/>
    </row>
    <row r="207" spans="1:42" x14ac:dyDescent="0.3">
      <c r="B207" s="39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AA207" s="39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</row>
    <row r="208" spans="1:42" x14ac:dyDescent="0.3">
      <c r="A208" s="44"/>
      <c r="B208" s="44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4"/>
      <c r="AA208" s="44"/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5"/>
      <c r="AM208" s="43"/>
      <c r="AN208" s="43"/>
      <c r="AO208" s="43"/>
      <c r="AP208" s="43"/>
    </row>
    <row r="209" spans="1:42" x14ac:dyDescent="0.3">
      <c r="B209" s="39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AA209" s="39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</row>
    <row r="210" spans="1:42" x14ac:dyDescent="0.3">
      <c r="A210" s="44"/>
      <c r="B210" s="44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4"/>
      <c r="AA210" s="44"/>
      <c r="AB210" s="45"/>
      <c r="AC210" s="45"/>
      <c r="AD210" s="45"/>
      <c r="AE210" s="45"/>
      <c r="AF210" s="45"/>
      <c r="AG210" s="45"/>
      <c r="AH210" s="45"/>
      <c r="AI210" s="45"/>
      <c r="AJ210" s="45"/>
      <c r="AK210" s="45"/>
      <c r="AL210" s="45"/>
      <c r="AM210" s="43"/>
      <c r="AN210" s="43"/>
      <c r="AO210" s="43"/>
      <c r="AP210" s="43"/>
    </row>
    <row r="211" spans="1:42" x14ac:dyDescent="0.3">
      <c r="B211" s="39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AA211" s="39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</row>
    <row r="212" spans="1:42" x14ac:dyDescent="0.3">
      <c r="A212" s="44"/>
      <c r="B212" s="44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4"/>
      <c r="AA212" s="44"/>
      <c r="AB212" s="45"/>
      <c r="AC212" s="45"/>
      <c r="AD212" s="45"/>
      <c r="AE212" s="45"/>
      <c r="AF212" s="45"/>
      <c r="AG212" s="45"/>
      <c r="AH212" s="45"/>
      <c r="AI212" s="45"/>
      <c r="AJ212" s="45"/>
      <c r="AK212" s="45"/>
      <c r="AL212" s="45"/>
      <c r="AM212" s="43"/>
      <c r="AN212" s="43"/>
      <c r="AO212" s="43"/>
      <c r="AP212" s="43"/>
    </row>
    <row r="213" spans="1:42" x14ac:dyDescent="0.3">
      <c r="B213" s="39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AA213" s="39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</row>
    <row r="214" spans="1:42" x14ac:dyDescent="0.3">
      <c r="A214" s="44"/>
      <c r="B214" s="44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4"/>
      <c r="AA214" s="44"/>
      <c r="AB214" s="45"/>
      <c r="AC214" s="45"/>
      <c r="AD214" s="45"/>
      <c r="AE214" s="45"/>
      <c r="AF214" s="45"/>
      <c r="AG214" s="45"/>
      <c r="AH214" s="45"/>
      <c r="AI214" s="45"/>
      <c r="AJ214" s="45"/>
      <c r="AK214" s="45"/>
      <c r="AL214" s="45"/>
      <c r="AM214" s="43"/>
      <c r="AN214" s="43"/>
      <c r="AO214" s="43"/>
      <c r="AP214" s="43"/>
    </row>
    <row r="215" spans="1:42" x14ac:dyDescent="0.3">
      <c r="B215" s="39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AA215" s="39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</row>
    <row r="216" spans="1:42" x14ac:dyDescent="0.3">
      <c r="A216" s="44"/>
      <c r="B216" s="44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4"/>
      <c r="AA216" s="44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3"/>
      <c r="AN216" s="43"/>
      <c r="AO216" s="43"/>
      <c r="AP216" s="43"/>
    </row>
    <row r="217" spans="1:42" x14ac:dyDescent="0.3">
      <c r="B217" s="39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AA217" s="39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</row>
    <row r="218" spans="1:42" x14ac:dyDescent="0.3">
      <c r="A218" s="44"/>
      <c r="B218" s="44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4"/>
      <c r="AA218" s="44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3"/>
      <c r="AN218" s="43"/>
      <c r="AO218" s="43"/>
      <c r="AP218" s="43"/>
    </row>
    <row r="219" spans="1:42" x14ac:dyDescent="0.3">
      <c r="B219" s="39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AA219" s="39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</row>
    <row r="220" spans="1:42" x14ac:dyDescent="0.3">
      <c r="A220" s="44"/>
      <c r="B220" s="44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4"/>
      <c r="AA220" s="44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3"/>
      <c r="AN220" s="43"/>
      <c r="AO220" s="43"/>
      <c r="AP220" s="43"/>
    </row>
    <row r="221" spans="1:42" x14ac:dyDescent="0.3">
      <c r="B221" s="39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AA221" s="39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</row>
    <row r="222" spans="1:42" x14ac:dyDescent="0.3">
      <c r="A222" s="44"/>
      <c r="B222" s="44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4"/>
      <c r="AA222" s="44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3"/>
      <c r="AN222" s="43"/>
      <c r="AO222" s="43"/>
      <c r="AP222" s="43"/>
    </row>
    <row r="223" spans="1:42" x14ac:dyDescent="0.3">
      <c r="B223" s="39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AA223" s="39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</row>
    <row r="224" spans="1:42" x14ac:dyDescent="0.3">
      <c r="A224" s="44"/>
      <c r="B224" s="44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4"/>
      <c r="AA224" s="44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3"/>
      <c r="AN224" s="43"/>
      <c r="AO224" s="43"/>
      <c r="AP224" s="43"/>
    </row>
    <row r="225" spans="1:42" x14ac:dyDescent="0.3">
      <c r="B225" s="39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AA225" s="39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</row>
    <row r="226" spans="1:42" x14ac:dyDescent="0.3">
      <c r="A226" s="44"/>
      <c r="B226" s="44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4"/>
      <c r="AA226" s="44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/>
      <c r="AM226" s="43"/>
      <c r="AN226" s="43"/>
      <c r="AO226" s="43"/>
      <c r="AP226" s="43"/>
    </row>
    <row r="227" spans="1:42" x14ac:dyDescent="0.3">
      <c r="B227" s="39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AA227" s="39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</row>
    <row r="228" spans="1:42" x14ac:dyDescent="0.3">
      <c r="A228" s="44"/>
      <c r="B228" s="44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4"/>
      <c r="AA228" s="44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/>
      <c r="AM228" s="43"/>
      <c r="AN228" s="43"/>
      <c r="AO228" s="43"/>
      <c r="AP228" s="43"/>
    </row>
    <row r="229" spans="1:42" x14ac:dyDescent="0.3">
      <c r="B229" s="39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AA229" s="39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</row>
    <row r="230" spans="1:42" x14ac:dyDescent="0.3">
      <c r="A230" s="44"/>
      <c r="B230" s="44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4"/>
      <c r="AA230" s="44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/>
      <c r="AM230" s="43"/>
      <c r="AN230" s="43"/>
      <c r="AO230" s="43"/>
      <c r="AP230" s="43"/>
    </row>
    <row r="231" spans="1:42" x14ac:dyDescent="0.3">
      <c r="B231" s="39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AA231" s="39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</row>
    <row r="232" spans="1:42" x14ac:dyDescent="0.3">
      <c r="A232" s="44"/>
      <c r="B232" s="44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4"/>
      <c r="AA232" s="44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/>
      <c r="AM232" s="43"/>
      <c r="AN232" s="43"/>
      <c r="AO232" s="43"/>
      <c r="AP232" s="43"/>
    </row>
    <row r="233" spans="1:42" x14ac:dyDescent="0.3">
      <c r="B233" s="39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AA233" s="39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</row>
    <row r="234" spans="1:42" x14ac:dyDescent="0.3">
      <c r="A234" s="44"/>
      <c r="B234" s="44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4"/>
      <c r="AA234" s="44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5"/>
      <c r="AM234" s="43"/>
      <c r="AN234" s="43"/>
      <c r="AO234" s="43"/>
      <c r="AP234" s="43"/>
    </row>
    <row r="235" spans="1:42" x14ac:dyDescent="0.3">
      <c r="B235" s="39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AA235" s="39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</row>
    <row r="236" spans="1:42" x14ac:dyDescent="0.3">
      <c r="A236" s="44"/>
      <c r="B236" s="44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4"/>
      <c r="AA236" s="44"/>
      <c r="AB236" s="45"/>
      <c r="AC236" s="45"/>
      <c r="AD236" s="45"/>
      <c r="AE236" s="45"/>
      <c r="AF236" s="45"/>
      <c r="AG236" s="45"/>
      <c r="AH236" s="45"/>
      <c r="AI236" s="45"/>
      <c r="AJ236" s="45"/>
      <c r="AK236" s="45"/>
      <c r="AL236" s="45"/>
      <c r="AM236" s="43"/>
      <c r="AN236" s="43"/>
      <c r="AO236" s="43"/>
      <c r="AP236" s="43"/>
    </row>
    <row r="237" spans="1:42" x14ac:dyDescent="0.3">
      <c r="B237" s="39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AA237" s="39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</row>
    <row r="238" spans="1:42" x14ac:dyDescent="0.3">
      <c r="A238" s="44"/>
      <c r="B238" s="44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4"/>
      <c r="AA238" s="44"/>
      <c r="AB238" s="45"/>
      <c r="AC238" s="45"/>
      <c r="AD238" s="45"/>
      <c r="AE238" s="45"/>
      <c r="AF238" s="45"/>
      <c r="AG238" s="45"/>
      <c r="AH238" s="45"/>
      <c r="AI238" s="45"/>
      <c r="AJ238" s="45"/>
      <c r="AK238" s="45"/>
      <c r="AL238" s="45"/>
      <c r="AM238" s="43"/>
      <c r="AN238" s="43"/>
      <c r="AO238" s="43"/>
      <c r="AP238" s="43"/>
    </row>
    <row r="239" spans="1:42" x14ac:dyDescent="0.3">
      <c r="B239" s="39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AA239" s="39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</row>
    <row r="240" spans="1:42" x14ac:dyDescent="0.3">
      <c r="A240" s="44"/>
      <c r="B240" s="44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4"/>
      <c r="AA240" s="44"/>
      <c r="AB240" s="45"/>
      <c r="AC240" s="45"/>
      <c r="AD240" s="45"/>
      <c r="AE240" s="45"/>
      <c r="AF240" s="45"/>
      <c r="AG240" s="45"/>
      <c r="AH240" s="45"/>
      <c r="AI240" s="45"/>
      <c r="AJ240" s="45"/>
      <c r="AK240" s="45"/>
      <c r="AL240" s="45"/>
      <c r="AM240" s="43"/>
      <c r="AN240" s="43"/>
      <c r="AO240" s="43"/>
      <c r="AP240" s="43"/>
    </row>
    <row r="241" spans="1:42" x14ac:dyDescent="0.3">
      <c r="B241" s="39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AA241" s="39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</row>
    <row r="242" spans="1:42" x14ac:dyDescent="0.3">
      <c r="A242" s="44"/>
      <c r="B242" s="44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4"/>
      <c r="AA242" s="44"/>
      <c r="AB242" s="45"/>
      <c r="AC242" s="45"/>
      <c r="AD242" s="45"/>
      <c r="AE242" s="45"/>
      <c r="AF242" s="45"/>
      <c r="AG242" s="45"/>
      <c r="AH242" s="45"/>
      <c r="AI242" s="45"/>
      <c r="AJ242" s="45"/>
      <c r="AK242" s="45"/>
      <c r="AL242" s="45"/>
      <c r="AM242" s="43"/>
      <c r="AN242" s="43"/>
      <c r="AO242" s="43"/>
      <c r="AP242" s="43"/>
    </row>
    <row r="243" spans="1:42" x14ac:dyDescent="0.3">
      <c r="B243" s="39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AA243" s="39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</row>
    <row r="244" spans="1:42" x14ac:dyDescent="0.3">
      <c r="A244" s="44"/>
      <c r="B244" s="44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4"/>
      <c r="AA244" s="44"/>
      <c r="AB244" s="45"/>
      <c r="AC244" s="45"/>
      <c r="AD244" s="45"/>
      <c r="AE244" s="45"/>
      <c r="AF244" s="45"/>
      <c r="AG244" s="45"/>
      <c r="AH244" s="45"/>
      <c r="AI244" s="45"/>
      <c r="AJ244" s="45"/>
      <c r="AK244" s="45"/>
      <c r="AL244" s="45"/>
      <c r="AM244" s="43"/>
      <c r="AN244" s="43"/>
      <c r="AO244" s="43"/>
      <c r="AP244" s="43"/>
    </row>
    <row r="245" spans="1:42" x14ac:dyDescent="0.3">
      <c r="B245" s="39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AA245" s="39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</row>
    <row r="246" spans="1:42" x14ac:dyDescent="0.3">
      <c r="A246" s="44"/>
      <c r="B246" s="44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4"/>
      <c r="AA246" s="44"/>
      <c r="AB246" s="45"/>
      <c r="AC246" s="45"/>
      <c r="AD246" s="45"/>
      <c r="AE246" s="45"/>
      <c r="AF246" s="45"/>
      <c r="AG246" s="45"/>
      <c r="AH246" s="45"/>
      <c r="AI246" s="45"/>
      <c r="AJ246" s="45"/>
      <c r="AK246" s="45"/>
      <c r="AL246" s="45"/>
      <c r="AM246" s="43"/>
      <c r="AN246" s="43"/>
      <c r="AO246" s="43"/>
      <c r="AP246" s="43"/>
    </row>
    <row r="247" spans="1:42" x14ac:dyDescent="0.3">
      <c r="B247" s="39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AA247" s="39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</row>
    <row r="248" spans="1:42" x14ac:dyDescent="0.3">
      <c r="A248" s="44"/>
      <c r="B248" s="44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4"/>
      <c r="AA248" s="44"/>
      <c r="AB248" s="45"/>
      <c r="AC248" s="45"/>
      <c r="AD248" s="45"/>
      <c r="AE248" s="45"/>
      <c r="AF248" s="45"/>
      <c r="AG248" s="45"/>
      <c r="AH248" s="45"/>
      <c r="AI248" s="45"/>
      <c r="AJ248" s="45"/>
      <c r="AK248" s="45"/>
      <c r="AL248" s="45"/>
      <c r="AM248" s="43"/>
      <c r="AN248" s="43"/>
      <c r="AO248" s="43"/>
      <c r="AP248" s="43"/>
    </row>
    <row r="249" spans="1:42" x14ac:dyDescent="0.3">
      <c r="B249" s="39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AA249" s="39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</row>
    <row r="250" spans="1:42" x14ac:dyDescent="0.3">
      <c r="A250" s="44"/>
      <c r="B250" s="44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4"/>
      <c r="AA250" s="44"/>
      <c r="AB250" s="45"/>
      <c r="AC250" s="45"/>
      <c r="AD250" s="45"/>
      <c r="AE250" s="45"/>
      <c r="AF250" s="45"/>
      <c r="AG250" s="45"/>
      <c r="AH250" s="45"/>
      <c r="AI250" s="45"/>
      <c r="AJ250" s="45"/>
      <c r="AK250" s="45"/>
      <c r="AL250" s="45"/>
      <c r="AM250" s="43"/>
      <c r="AN250" s="43"/>
      <c r="AO250" s="43"/>
      <c r="AP250" s="43"/>
    </row>
    <row r="251" spans="1:42" x14ac:dyDescent="0.3">
      <c r="B251" s="39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AA251" s="39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</row>
    <row r="252" spans="1:42" x14ac:dyDescent="0.3">
      <c r="A252" s="44"/>
      <c r="B252" s="44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4"/>
      <c r="AA252" s="44"/>
      <c r="AB252" s="45"/>
      <c r="AC252" s="45"/>
      <c r="AD252" s="45"/>
      <c r="AE252" s="45"/>
      <c r="AF252" s="45"/>
      <c r="AG252" s="45"/>
      <c r="AH252" s="45"/>
      <c r="AI252" s="45"/>
      <c r="AJ252" s="45"/>
      <c r="AK252" s="45"/>
      <c r="AL252" s="45"/>
      <c r="AM252" s="43"/>
      <c r="AN252" s="43"/>
      <c r="AO252" s="43"/>
      <c r="AP252" s="43"/>
    </row>
    <row r="253" spans="1:42" x14ac:dyDescent="0.3">
      <c r="B253" s="39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AA253" s="39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</row>
    <row r="254" spans="1:42" x14ac:dyDescent="0.3">
      <c r="A254" s="44"/>
      <c r="B254" s="44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4"/>
      <c r="AA254" s="44"/>
      <c r="AB254" s="45"/>
      <c r="AC254" s="45"/>
      <c r="AD254" s="45"/>
      <c r="AE254" s="45"/>
      <c r="AF254" s="45"/>
      <c r="AG254" s="45"/>
      <c r="AH254" s="45"/>
      <c r="AI254" s="45"/>
      <c r="AJ254" s="45"/>
      <c r="AK254" s="45"/>
      <c r="AL254" s="45"/>
      <c r="AM254" s="43"/>
      <c r="AN254" s="43"/>
      <c r="AO254" s="43"/>
      <c r="AP254" s="43"/>
    </row>
    <row r="255" spans="1:42" x14ac:dyDescent="0.3">
      <c r="B255" s="39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AA255" s="39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</row>
    <row r="256" spans="1:42" x14ac:dyDescent="0.3">
      <c r="A256" s="44"/>
      <c r="B256" s="44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4"/>
      <c r="AA256" s="44"/>
      <c r="AB256" s="45"/>
      <c r="AC256" s="45"/>
      <c r="AD256" s="45"/>
      <c r="AE256" s="45"/>
      <c r="AF256" s="45"/>
      <c r="AG256" s="45"/>
      <c r="AH256" s="45"/>
      <c r="AI256" s="45"/>
      <c r="AJ256" s="45"/>
      <c r="AK256" s="45"/>
      <c r="AL256" s="45"/>
      <c r="AM256" s="43"/>
      <c r="AN256" s="43"/>
      <c r="AO256" s="43"/>
      <c r="AP256" s="43"/>
    </row>
    <row r="257" spans="1:42" x14ac:dyDescent="0.3">
      <c r="B257" s="39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AA257" s="39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</row>
    <row r="258" spans="1:42" x14ac:dyDescent="0.3">
      <c r="A258" s="44"/>
      <c r="B258" s="44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4"/>
      <c r="AA258" s="44"/>
      <c r="AB258" s="45"/>
      <c r="AC258" s="45"/>
      <c r="AD258" s="45"/>
      <c r="AE258" s="45"/>
      <c r="AF258" s="45"/>
      <c r="AG258" s="45"/>
      <c r="AH258" s="45"/>
      <c r="AI258" s="45"/>
      <c r="AJ258" s="45"/>
      <c r="AK258" s="45"/>
      <c r="AL258" s="45"/>
      <c r="AM258" s="43"/>
      <c r="AN258" s="43"/>
      <c r="AO258" s="43"/>
      <c r="AP258" s="43"/>
    </row>
    <row r="259" spans="1:42" x14ac:dyDescent="0.3">
      <c r="B259" s="39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AA259" s="39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</row>
    <row r="260" spans="1:42" x14ac:dyDescent="0.3">
      <c r="A260" s="44"/>
      <c r="B260" s="44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4"/>
      <c r="AA260" s="44"/>
      <c r="AB260" s="45"/>
      <c r="AC260" s="45"/>
      <c r="AD260" s="45"/>
      <c r="AE260" s="45"/>
      <c r="AF260" s="45"/>
      <c r="AG260" s="45"/>
      <c r="AH260" s="45"/>
      <c r="AI260" s="45"/>
      <c r="AJ260" s="45"/>
      <c r="AK260" s="45"/>
      <c r="AL260" s="45"/>
      <c r="AM260" s="43"/>
      <c r="AN260" s="43"/>
      <c r="AO260" s="43"/>
      <c r="AP260" s="43"/>
    </row>
    <row r="261" spans="1:42" x14ac:dyDescent="0.3">
      <c r="B261" s="39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AA261" s="39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</row>
    <row r="262" spans="1:42" x14ac:dyDescent="0.3">
      <c r="A262" s="44"/>
      <c r="B262" s="44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4"/>
      <c r="AA262" s="44"/>
      <c r="AB262" s="45"/>
      <c r="AC262" s="45"/>
      <c r="AD262" s="45"/>
      <c r="AE262" s="45"/>
      <c r="AF262" s="45"/>
      <c r="AG262" s="45"/>
      <c r="AH262" s="45"/>
      <c r="AI262" s="45"/>
      <c r="AJ262" s="45"/>
      <c r="AK262" s="45"/>
      <c r="AL262" s="45"/>
      <c r="AM262" s="43"/>
      <c r="AN262" s="43"/>
      <c r="AO262" s="43"/>
      <c r="AP262" s="43"/>
    </row>
    <row r="263" spans="1:42" x14ac:dyDescent="0.3">
      <c r="B263" s="39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AA263" s="39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</row>
    <row r="264" spans="1:42" x14ac:dyDescent="0.3">
      <c r="A264" s="44"/>
      <c r="B264" s="44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4"/>
      <c r="AA264" s="44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3"/>
      <c r="AN264" s="43"/>
      <c r="AO264" s="43"/>
      <c r="AP264" s="43"/>
    </row>
    <row r="265" spans="1:42" x14ac:dyDescent="0.3">
      <c r="B265" s="39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AA265" s="39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</row>
    <row r="266" spans="1:42" x14ac:dyDescent="0.3">
      <c r="A266" s="44"/>
      <c r="B266" s="44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4"/>
      <c r="AA266" s="44"/>
      <c r="AB266" s="45"/>
      <c r="AC266" s="45"/>
      <c r="AD266" s="45"/>
      <c r="AE266" s="45"/>
      <c r="AF266" s="45"/>
      <c r="AG266" s="45"/>
      <c r="AH266" s="45"/>
      <c r="AI266" s="45"/>
      <c r="AJ266" s="45"/>
      <c r="AK266" s="45"/>
      <c r="AL266" s="45"/>
      <c r="AM266" s="43"/>
      <c r="AN266" s="43"/>
      <c r="AO266" s="43"/>
      <c r="AP266" s="43"/>
    </row>
    <row r="267" spans="1:42" x14ac:dyDescent="0.3">
      <c r="B267" s="39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AA267" s="39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</row>
    <row r="268" spans="1:42" x14ac:dyDescent="0.3">
      <c r="A268" s="44"/>
      <c r="B268" s="44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4"/>
      <c r="AA268" s="44"/>
      <c r="AB268" s="45"/>
      <c r="AC268" s="45"/>
      <c r="AD268" s="45"/>
      <c r="AE268" s="45"/>
      <c r="AF268" s="45"/>
      <c r="AG268" s="45"/>
      <c r="AH268" s="45"/>
      <c r="AI268" s="45"/>
      <c r="AJ268" s="45"/>
      <c r="AK268" s="45"/>
      <c r="AL268" s="45"/>
      <c r="AM268" s="43"/>
      <c r="AN268" s="43"/>
      <c r="AO268" s="43"/>
      <c r="AP268" s="43"/>
    </row>
    <row r="269" spans="1:42" x14ac:dyDescent="0.3">
      <c r="B269" s="39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AA269" s="39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</row>
    <row r="270" spans="1:42" x14ac:dyDescent="0.3">
      <c r="A270" s="44"/>
      <c r="B270" s="44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4"/>
      <c r="AA270" s="44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3"/>
      <c r="AN270" s="43"/>
      <c r="AO270" s="43"/>
      <c r="AP270" s="43"/>
    </row>
    <row r="271" spans="1:42" x14ac:dyDescent="0.3">
      <c r="B271" s="39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AA271" s="39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</row>
    <row r="272" spans="1:42" x14ac:dyDescent="0.3">
      <c r="A272" s="44"/>
      <c r="B272" s="44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4"/>
      <c r="AA272" s="44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3"/>
      <c r="AN272" s="43"/>
      <c r="AO272" s="43"/>
      <c r="AP272" s="43"/>
    </row>
    <row r="273" spans="1:42" x14ac:dyDescent="0.3">
      <c r="B273" s="39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AA273" s="39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</row>
    <row r="274" spans="1:42" x14ac:dyDescent="0.3">
      <c r="A274" s="44"/>
      <c r="B274" s="44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4"/>
      <c r="AA274" s="44"/>
      <c r="AB274" s="45"/>
      <c r="AC274" s="45"/>
      <c r="AD274" s="45"/>
      <c r="AE274" s="45"/>
      <c r="AF274" s="45"/>
      <c r="AG274" s="45"/>
      <c r="AH274" s="45"/>
      <c r="AI274" s="45"/>
      <c r="AJ274" s="45"/>
      <c r="AK274" s="45"/>
      <c r="AL274" s="45"/>
      <c r="AM274" s="43"/>
      <c r="AN274" s="43"/>
      <c r="AO274" s="43"/>
      <c r="AP274" s="43"/>
    </row>
    <row r="275" spans="1:42" x14ac:dyDescent="0.3">
      <c r="B275" s="39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AA275" s="39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</row>
    <row r="276" spans="1:42" x14ac:dyDescent="0.3">
      <c r="A276" s="44"/>
      <c r="B276" s="44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4"/>
      <c r="AA276" s="44"/>
      <c r="AB276" s="45"/>
      <c r="AC276" s="45"/>
      <c r="AD276" s="45"/>
      <c r="AE276" s="45"/>
      <c r="AF276" s="45"/>
      <c r="AG276" s="45"/>
      <c r="AH276" s="45"/>
      <c r="AI276" s="45"/>
      <c r="AJ276" s="45"/>
      <c r="AK276" s="45"/>
      <c r="AL276" s="45"/>
      <c r="AM276" s="43"/>
      <c r="AN276" s="43"/>
      <c r="AO276" s="43"/>
      <c r="AP276" s="43"/>
    </row>
    <row r="277" spans="1:42" x14ac:dyDescent="0.3">
      <c r="B277" s="39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AA277" s="39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</row>
    <row r="278" spans="1:42" x14ac:dyDescent="0.3">
      <c r="A278" s="44"/>
      <c r="B278" s="44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4"/>
      <c r="AA278" s="44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3"/>
      <c r="AN278" s="43"/>
      <c r="AO278" s="43"/>
      <c r="AP278" s="43"/>
    </row>
    <row r="279" spans="1:42" x14ac:dyDescent="0.3">
      <c r="B279" s="39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AA279" s="39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</row>
    <row r="280" spans="1:42" x14ac:dyDescent="0.3">
      <c r="A280" s="44"/>
      <c r="B280" s="44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4"/>
      <c r="AA280" s="44"/>
      <c r="AB280" s="45"/>
      <c r="AC280" s="45"/>
      <c r="AD280" s="45"/>
      <c r="AE280" s="45"/>
      <c r="AF280" s="45"/>
      <c r="AG280" s="45"/>
      <c r="AH280" s="45"/>
      <c r="AI280" s="45"/>
      <c r="AJ280" s="45"/>
      <c r="AK280" s="45"/>
      <c r="AL280" s="45"/>
      <c r="AM280" s="43"/>
      <c r="AN280" s="43"/>
      <c r="AO280" s="43"/>
      <c r="AP280" s="43"/>
    </row>
    <row r="281" spans="1:42" x14ac:dyDescent="0.3">
      <c r="B281" s="39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AA281" s="39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</row>
    <row r="282" spans="1:42" x14ac:dyDescent="0.3">
      <c r="A282" s="44"/>
      <c r="B282" s="44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4"/>
      <c r="AA282" s="44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3"/>
      <c r="AN282" s="43"/>
      <c r="AO282" s="43"/>
      <c r="AP282" s="43"/>
    </row>
    <row r="283" spans="1:42" x14ac:dyDescent="0.3">
      <c r="B283" s="39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AA283" s="39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</row>
    <row r="284" spans="1:42" x14ac:dyDescent="0.3">
      <c r="A284" s="44"/>
      <c r="B284" s="44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4"/>
      <c r="AA284" s="44"/>
      <c r="AB284" s="45"/>
      <c r="AC284" s="45"/>
      <c r="AD284" s="45"/>
      <c r="AE284" s="45"/>
      <c r="AF284" s="45"/>
      <c r="AG284" s="45"/>
      <c r="AH284" s="45"/>
      <c r="AI284" s="45"/>
      <c r="AJ284" s="45"/>
      <c r="AK284" s="45"/>
      <c r="AL284" s="45"/>
      <c r="AM284" s="43"/>
      <c r="AN284" s="43"/>
      <c r="AO284" s="43"/>
      <c r="AP284" s="43"/>
    </row>
    <row r="285" spans="1:42" x14ac:dyDescent="0.3">
      <c r="B285" s="39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AA285" s="39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</row>
    <row r="286" spans="1:42" x14ac:dyDescent="0.3">
      <c r="A286" s="44"/>
      <c r="B286" s="44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4"/>
      <c r="AA286" s="44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3"/>
      <c r="AN286" s="43"/>
      <c r="AO286" s="43"/>
      <c r="AP286" s="43"/>
    </row>
    <row r="287" spans="1:42" x14ac:dyDescent="0.3">
      <c r="B287" s="39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AA287" s="39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</row>
    <row r="288" spans="1:42" x14ac:dyDescent="0.3">
      <c r="A288" s="44"/>
      <c r="B288" s="44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4"/>
      <c r="AA288" s="44"/>
      <c r="AB288" s="45"/>
      <c r="AC288" s="45"/>
      <c r="AD288" s="45"/>
      <c r="AE288" s="45"/>
      <c r="AF288" s="45"/>
      <c r="AG288" s="45"/>
      <c r="AH288" s="45"/>
      <c r="AI288" s="45"/>
      <c r="AJ288" s="45"/>
      <c r="AK288" s="45"/>
      <c r="AL288" s="45"/>
      <c r="AM288" s="43"/>
      <c r="AN288" s="43"/>
      <c r="AO288" s="43"/>
      <c r="AP288" s="43"/>
    </row>
    <row r="289" spans="1:42" x14ac:dyDescent="0.3">
      <c r="B289" s="39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AA289" s="39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</row>
    <row r="290" spans="1:42" x14ac:dyDescent="0.3">
      <c r="A290" s="44"/>
      <c r="B290" s="44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4"/>
      <c r="AA290" s="44"/>
      <c r="AB290" s="45"/>
      <c r="AC290" s="45"/>
      <c r="AD290" s="45"/>
      <c r="AE290" s="45"/>
      <c r="AF290" s="45"/>
      <c r="AG290" s="45"/>
      <c r="AH290" s="45"/>
      <c r="AI290" s="45"/>
      <c r="AJ290" s="45"/>
      <c r="AK290" s="45"/>
      <c r="AL290" s="45"/>
      <c r="AM290" s="43"/>
      <c r="AN290" s="43"/>
      <c r="AO290" s="43"/>
      <c r="AP290" s="43"/>
    </row>
    <row r="291" spans="1:42" x14ac:dyDescent="0.3">
      <c r="B291" s="39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AA291" s="39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</row>
    <row r="292" spans="1:42" x14ac:dyDescent="0.3">
      <c r="A292" s="44"/>
      <c r="B292" s="44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4"/>
      <c r="AA292" s="44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3"/>
      <c r="AN292" s="43"/>
      <c r="AO292" s="43"/>
      <c r="AP292" s="43"/>
    </row>
    <row r="293" spans="1:42" x14ac:dyDescent="0.3">
      <c r="B293" s="39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AA293" s="39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</row>
    <row r="294" spans="1:42" x14ac:dyDescent="0.3">
      <c r="A294" s="44"/>
      <c r="B294" s="44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4"/>
      <c r="AA294" s="44"/>
      <c r="AB294" s="45"/>
      <c r="AC294" s="45"/>
      <c r="AD294" s="45"/>
      <c r="AE294" s="45"/>
      <c r="AF294" s="45"/>
      <c r="AG294" s="45"/>
      <c r="AH294" s="45"/>
      <c r="AI294" s="45"/>
      <c r="AJ294" s="45"/>
      <c r="AK294" s="45"/>
      <c r="AL294" s="45"/>
      <c r="AM294" s="43"/>
      <c r="AN294" s="43"/>
      <c r="AO294" s="43"/>
      <c r="AP294" s="43"/>
    </row>
    <row r="295" spans="1:42" x14ac:dyDescent="0.3">
      <c r="B295" s="39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AA295" s="39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</row>
    <row r="296" spans="1:42" x14ac:dyDescent="0.3">
      <c r="A296" s="44"/>
      <c r="B296" s="44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4"/>
      <c r="AA296" s="44"/>
      <c r="AB296" s="45"/>
      <c r="AC296" s="45"/>
      <c r="AD296" s="45"/>
      <c r="AE296" s="45"/>
      <c r="AF296" s="45"/>
      <c r="AG296" s="45"/>
      <c r="AH296" s="45"/>
      <c r="AI296" s="45"/>
      <c r="AJ296" s="45"/>
      <c r="AK296" s="45"/>
      <c r="AL296" s="45"/>
      <c r="AM296" s="43"/>
      <c r="AN296" s="43"/>
      <c r="AO296" s="43"/>
      <c r="AP296" s="43"/>
    </row>
    <row r="297" spans="1:42" x14ac:dyDescent="0.3">
      <c r="B297" s="39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AA297" s="39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</row>
    <row r="298" spans="1:42" x14ac:dyDescent="0.3">
      <c r="A298" s="44"/>
      <c r="B298" s="44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4"/>
      <c r="AA298" s="44"/>
      <c r="AB298" s="45"/>
      <c r="AC298" s="45"/>
      <c r="AD298" s="45"/>
      <c r="AE298" s="45"/>
      <c r="AF298" s="45"/>
      <c r="AG298" s="45"/>
      <c r="AH298" s="45"/>
      <c r="AI298" s="45"/>
      <c r="AJ298" s="45"/>
      <c r="AK298" s="45"/>
      <c r="AL298" s="45"/>
      <c r="AM298" s="43"/>
      <c r="AN298" s="43"/>
      <c r="AO298" s="43"/>
      <c r="AP298" s="43"/>
    </row>
    <row r="299" spans="1:42" x14ac:dyDescent="0.3">
      <c r="B299" s="39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AA299" s="39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</row>
    <row r="300" spans="1:42" x14ac:dyDescent="0.3">
      <c r="A300" s="44"/>
      <c r="B300" s="44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4"/>
      <c r="AA300" s="44"/>
      <c r="AB300" s="45"/>
      <c r="AC300" s="45"/>
      <c r="AD300" s="45"/>
      <c r="AE300" s="45"/>
      <c r="AF300" s="45"/>
      <c r="AG300" s="45"/>
      <c r="AH300" s="45"/>
      <c r="AI300" s="45"/>
      <c r="AJ300" s="45"/>
      <c r="AK300" s="45"/>
      <c r="AL300" s="45"/>
      <c r="AM300" s="43"/>
      <c r="AN300" s="43"/>
      <c r="AO300" s="43"/>
      <c r="AP300" s="43"/>
    </row>
    <row r="301" spans="1:42" x14ac:dyDescent="0.3">
      <c r="B301" s="39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AA301" s="39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</row>
    <row r="302" spans="1:42" x14ac:dyDescent="0.3">
      <c r="A302" s="44"/>
      <c r="B302" s="44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4"/>
      <c r="AA302" s="44"/>
      <c r="AB302" s="45"/>
      <c r="AC302" s="45"/>
      <c r="AD302" s="45"/>
      <c r="AE302" s="45"/>
      <c r="AF302" s="45"/>
      <c r="AG302" s="45"/>
      <c r="AH302" s="45"/>
      <c r="AI302" s="45"/>
      <c r="AJ302" s="45"/>
      <c r="AK302" s="45"/>
      <c r="AL302" s="45"/>
      <c r="AM302" s="43"/>
      <c r="AN302" s="43"/>
      <c r="AO302" s="43"/>
      <c r="AP302" s="43"/>
    </row>
    <row r="303" spans="1:42" x14ac:dyDescent="0.3">
      <c r="B303" s="39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AA303" s="39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</row>
    <row r="304" spans="1:42" x14ac:dyDescent="0.3">
      <c r="A304" s="44"/>
      <c r="B304" s="44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4"/>
      <c r="AA304" s="44"/>
      <c r="AB304" s="45"/>
      <c r="AC304" s="45"/>
      <c r="AD304" s="45"/>
      <c r="AE304" s="45"/>
      <c r="AF304" s="45"/>
      <c r="AG304" s="45"/>
      <c r="AH304" s="45"/>
      <c r="AI304" s="45"/>
      <c r="AJ304" s="45"/>
      <c r="AK304" s="45"/>
      <c r="AL304" s="45"/>
      <c r="AM304" s="43"/>
      <c r="AN304" s="43"/>
      <c r="AO304" s="43"/>
      <c r="AP304" s="43"/>
    </row>
    <row r="305" spans="1:42" x14ac:dyDescent="0.3">
      <c r="B305" s="39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AA305" s="39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</row>
    <row r="306" spans="1:42" x14ac:dyDescent="0.3">
      <c r="A306" s="44"/>
      <c r="B306" s="44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4"/>
      <c r="AA306" s="44"/>
      <c r="AB306" s="45"/>
      <c r="AC306" s="45"/>
      <c r="AD306" s="45"/>
      <c r="AE306" s="45"/>
      <c r="AF306" s="45"/>
      <c r="AG306" s="45"/>
      <c r="AH306" s="45"/>
      <c r="AI306" s="45"/>
      <c r="AJ306" s="45"/>
      <c r="AK306" s="45"/>
      <c r="AL306" s="45"/>
      <c r="AM306" s="43"/>
      <c r="AN306" s="43"/>
      <c r="AO306" s="43"/>
      <c r="AP306" s="43"/>
    </row>
    <row r="307" spans="1:42" x14ac:dyDescent="0.3">
      <c r="B307" s="39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AA307" s="39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</row>
    <row r="308" spans="1:42" x14ac:dyDescent="0.3">
      <c r="A308" s="44"/>
      <c r="B308" s="44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4"/>
      <c r="AA308" s="44"/>
      <c r="AB308" s="45"/>
      <c r="AC308" s="45"/>
      <c r="AD308" s="45"/>
      <c r="AE308" s="45"/>
      <c r="AF308" s="45"/>
      <c r="AG308" s="45"/>
      <c r="AH308" s="45"/>
      <c r="AI308" s="45"/>
      <c r="AJ308" s="45"/>
      <c r="AK308" s="45"/>
      <c r="AL308" s="45"/>
      <c r="AM308" s="43"/>
      <c r="AN308" s="43"/>
      <c r="AO308" s="43"/>
      <c r="AP308" s="43"/>
    </row>
    <row r="309" spans="1:42" x14ac:dyDescent="0.3">
      <c r="B309" s="39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AA309" s="39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</row>
    <row r="310" spans="1:42" x14ac:dyDescent="0.3">
      <c r="A310" s="44"/>
      <c r="B310" s="44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4"/>
      <c r="AA310" s="44"/>
      <c r="AB310" s="45"/>
      <c r="AC310" s="45"/>
      <c r="AD310" s="45"/>
      <c r="AE310" s="45"/>
      <c r="AF310" s="45"/>
      <c r="AG310" s="45"/>
      <c r="AH310" s="45"/>
      <c r="AI310" s="45"/>
      <c r="AJ310" s="45"/>
      <c r="AK310" s="45"/>
      <c r="AL310" s="45"/>
      <c r="AM310" s="43"/>
      <c r="AN310" s="43"/>
      <c r="AO310" s="43"/>
      <c r="AP310" s="43"/>
    </row>
    <row r="311" spans="1:42" x14ac:dyDescent="0.3">
      <c r="B311" s="39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AA311" s="39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</row>
    <row r="312" spans="1:42" x14ac:dyDescent="0.3">
      <c r="A312" s="44"/>
      <c r="B312" s="44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4"/>
      <c r="AA312" s="44"/>
      <c r="AB312" s="45"/>
      <c r="AC312" s="45"/>
      <c r="AD312" s="45"/>
      <c r="AE312" s="45"/>
      <c r="AF312" s="45"/>
      <c r="AG312" s="45"/>
      <c r="AH312" s="45"/>
      <c r="AI312" s="45"/>
      <c r="AJ312" s="45"/>
      <c r="AK312" s="45"/>
      <c r="AL312" s="45"/>
      <c r="AM312" s="43"/>
      <c r="AN312" s="43"/>
      <c r="AO312" s="43"/>
      <c r="AP312" s="43"/>
    </row>
    <row r="313" spans="1:42" x14ac:dyDescent="0.3">
      <c r="B313" s="39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AA313" s="39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</row>
    <row r="314" spans="1:42" x14ac:dyDescent="0.3">
      <c r="A314" s="44"/>
      <c r="B314" s="44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4"/>
      <c r="AA314" s="44"/>
      <c r="AB314" s="45"/>
      <c r="AC314" s="45"/>
      <c r="AD314" s="45"/>
      <c r="AE314" s="45"/>
      <c r="AF314" s="45"/>
      <c r="AG314" s="45"/>
      <c r="AH314" s="45"/>
      <c r="AI314" s="45"/>
      <c r="AJ314" s="45"/>
      <c r="AK314" s="45"/>
      <c r="AL314" s="45"/>
      <c r="AM314" s="43"/>
      <c r="AN314" s="43"/>
      <c r="AO314" s="43"/>
      <c r="AP314" s="43"/>
    </row>
    <row r="315" spans="1:42" x14ac:dyDescent="0.3">
      <c r="B315" s="39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AA315" s="39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</row>
    <row r="316" spans="1:42" x14ac:dyDescent="0.3">
      <c r="A316" s="44"/>
      <c r="B316" s="44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4"/>
      <c r="AA316" s="44"/>
      <c r="AB316" s="45"/>
      <c r="AC316" s="45"/>
      <c r="AD316" s="45"/>
      <c r="AE316" s="45"/>
      <c r="AF316" s="45"/>
      <c r="AG316" s="45"/>
      <c r="AH316" s="45"/>
      <c r="AI316" s="45"/>
      <c r="AJ316" s="45"/>
      <c r="AK316" s="45"/>
      <c r="AL316" s="45"/>
      <c r="AM316" s="43"/>
      <c r="AN316" s="43"/>
      <c r="AO316" s="43"/>
      <c r="AP316" s="43"/>
    </row>
    <row r="317" spans="1:42" x14ac:dyDescent="0.3">
      <c r="B317" s="39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AA317" s="39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</row>
    <row r="318" spans="1:42" x14ac:dyDescent="0.3">
      <c r="A318" s="44"/>
      <c r="B318" s="44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4"/>
      <c r="AA318" s="44"/>
      <c r="AB318" s="45"/>
      <c r="AC318" s="45"/>
      <c r="AD318" s="45"/>
      <c r="AE318" s="45"/>
      <c r="AF318" s="45"/>
      <c r="AG318" s="45"/>
      <c r="AH318" s="45"/>
      <c r="AI318" s="45"/>
      <c r="AJ318" s="45"/>
      <c r="AK318" s="45"/>
      <c r="AL318" s="45"/>
      <c r="AM318" s="43"/>
      <c r="AN318" s="43"/>
      <c r="AO318" s="43"/>
      <c r="AP318" s="43"/>
    </row>
    <row r="319" spans="1:42" x14ac:dyDescent="0.3">
      <c r="B319" s="39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AA319" s="39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</row>
    <row r="320" spans="1:42" x14ac:dyDescent="0.3">
      <c r="A320" s="44"/>
      <c r="B320" s="44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4"/>
      <c r="AA320" s="44"/>
      <c r="AB320" s="45"/>
      <c r="AC320" s="45"/>
      <c r="AD320" s="45"/>
      <c r="AE320" s="45"/>
      <c r="AF320" s="45"/>
      <c r="AG320" s="45"/>
      <c r="AH320" s="45"/>
      <c r="AI320" s="45"/>
      <c r="AJ320" s="45"/>
      <c r="AK320" s="45"/>
      <c r="AL320" s="45"/>
      <c r="AM320" s="43"/>
      <c r="AN320" s="43"/>
      <c r="AO320" s="43"/>
      <c r="AP320" s="43"/>
    </row>
    <row r="321" spans="1:42" x14ac:dyDescent="0.3">
      <c r="B321" s="39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AA321" s="39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</row>
    <row r="322" spans="1:42" x14ac:dyDescent="0.3">
      <c r="A322" s="44"/>
      <c r="B322" s="44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4"/>
      <c r="AA322" s="44"/>
      <c r="AB322" s="45"/>
      <c r="AC322" s="45"/>
      <c r="AD322" s="45"/>
      <c r="AE322" s="45"/>
      <c r="AF322" s="45"/>
      <c r="AG322" s="45"/>
      <c r="AH322" s="45"/>
      <c r="AI322" s="45"/>
      <c r="AJ322" s="45"/>
      <c r="AK322" s="45"/>
      <c r="AL322" s="45"/>
      <c r="AM322" s="43"/>
      <c r="AN322" s="43"/>
      <c r="AO322" s="43"/>
      <c r="AP322" s="43"/>
    </row>
    <row r="323" spans="1:42" x14ac:dyDescent="0.3">
      <c r="B323" s="39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AA323" s="39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</row>
    <row r="324" spans="1:42" x14ac:dyDescent="0.3">
      <c r="A324" s="44"/>
      <c r="B324" s="44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4"/>
      <c r="AA324" s="44"/>
      <c r="AB324" s="45"/>
      <c r="AC324" s="45"/>
      <c r="AD324" s="45"/>
      <c r="AE324" s="45"/>
      <c r="AF324" s="45"/>
      <c r="AG324" s="45"/>
      <c r="AH324" s="45"/>
      <c r="AI324" s="45"/>
      <c r="AJ324" s="45"/>
      <c r="AK324" s="45"/>
      <c r="AL324" s="45"/>
      <c r="AM324" s="43"/>
      <c r="AN324" s="43"/>
      <c r="AO324" s="43"/>
      <c r="AP324" s="43"/>
    </row>
    <row r="325" spans="1:42" x14ac:dyDescent="0.3">
      <c r="B325" s="39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AA325" s="39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</row>
    <row r="326" spans="1:42" x14ac:dyDescent="0.3">
      <c r="A326" s="44"/>
      <c r="B326" s="44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4"/>
      <c r="AA326" s="44"/>
      <c r="AB326" s="45"/>
      <c r="AC326" s="45"/>
      <c r="AD326" s="45"/>
      <c r="AE326" s="45"/>
      <c r="AF326" s="45"/>
      <c r="AG326" s="45"/>
      <c r="AH326" s="45"/>
      <c r="AI326" s="45"/>
      <c r="AJ326" s="45"/>
      <c r="AK326" s="45"/>
      <c r="AL326" s="45"/>
      <c r="AM326" s="43"/>
      <c r="AN326" s="43"/>
      <c r="AO326" s="43"/>
      <c r="AP326" s="43"/>
    </row>
    <row r="327" spans="1:42" x14ac:dyDescent="0.3">
      <c r="B327" s="39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AA327" s="39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</row>
    <row r="328" spans="1:42" x14ac:dyDescent="0.3">
      <c r="A328" s="44"/>
      <c r="B328" s="44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4"/>
      <c r="AA328" s="44"/>
      <c r="AB328" s="45"/>
      <c r="AC328" s="45"/>
      <c r="AD328" s="45"/>
      <c r="AE328" s="45"/>
      <c r="AF328" s="45"/>
      <c r="AG328" s="45"/>
      <c r="AH328" s="45"/>
      <c r="AI328" s="45"/>
      <c r="AJ328" s="45"/>
      <c r="AK328" s="45"/>
      <c r="AL328" s="45"/>
      <c r="AM328" s="43"/>
      <c r="AN328" s="43"/>
      <c r="AO328" s="43"/>
      <c r="AP328" s="43"/>
    </row>
    <row r="329" spans="1:42" x14ac:dyDescent="0.3">
      <c r="B329" s="39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AA329" s="39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</row>
    <row r="330" spans="1:42" x14ac:dyDescent="0.3">
      <c r="A330" s="44"/>
      <c r="B330" s="44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4"/>
      <c r="AA330" s="44"/>
      <c r="AB330" s="45"/>
      <c r="AC330" s="45"/>
      <c r="AD330" s="45"/>
      <c r="AE330" s="45"/>
      <c r="AF330" s="45"/>
      <c r="AG330" s="45"/>
      <c r="AH330" s="45"/>
      <c r="AI330" s="45"/>
      <c r="AJ330" s="45"/>
      <c r="AK330" s="45"/>
      <c r="AL330" s="45"/>
      <c r="AM330" s="43"/>
      <c r="AN330" s="43"/>
      <c r="AO330" s="43"/>
      <c r="AP330" s="43"/>
    </row>
    <row r="331" spans="1:42" x14ac:dyDescent="0.3">
      <c r="B331" s="39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AA331" s="39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</row>
    <row r="332" spans="1:42" x14ac:dyDescent="0.3">
      <c r="A332" s="44"/>
      <c r="B332" s="44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4"/>
      <c r="AA332" s="44"/>
      <c r="AB332" s="45"/>
      <c r="AC332" s="45"/>
      <c r="AD332" s="45"/>
      <c r="AE332" s="45"/>
      <c r="AF332" s="45"/>
      <c r="AG332" s="45"/>
      <c r="AH332" s="45"/>
      <c r="AI332" s="45"/>
      <c r="AJ332" s="45"/>
      <c r="AK332" s="45"/>
      <c r="AL332" s="45"/>
      <c r="AM332" s="43"/>
      <c r="AN332" s="43"/>
      <c r="AO332" s="43"/>
      <c r="AP332" s="43"/>
    </row>
    <row r="333" spans="1:42" x14ac:dyDescent="0.3">
      <c r="B333" s="39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AA333" s="39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</row>
    <row r="334" spans="1:42" x14ac:dyDescent="0.3">
      <c r="A334" s="44"/>
      <c r="B334" s="44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4"/>
      <c r="AA334" s="44"/>
      <c r="AB334" s="45"/>
      <c r="AC334" s="45"/>
      <c r="AD334" s="45"/>
      <c r="AE334" s="45"/>
      <c r="AF334" s="45"/>
      <c r="AG334" s="45"/>
      <c r="AH334" s="45"/>
      <c r="AI334" s="45"/>
      <c r="AJ334" s="45"/>
      <c r="AK334" s="45"/>
      <c r="AL334" s="45"/>
      <c r="AM334" s="43"/>
      <c r="AN334" s="43"/>
      <c r="AO334" s="43"/>
      <c r="AP334" s="43"/>
    </row>
    <row r="335" spans="1:42" x14ac:dyDescent="0.3">
      <c r="B335" s="39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AA335" s="39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</row>
    <row r="336" spans="1:42" x14ac:dyDescent="0.3">
      <c r="A336" s="44"/>
      <c r="B336" s="44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4"/>
      <c r="AA336" s="44"/>
      <c r="AB336" s="45"/>
      <c r="AC336" s="45"/>
      <c r="AD336" s="45"/>
      <c r="AE336" s="45"/>
      <c r="AF336" s="45"/>
      <c r="AG336" s="45"/>
      <c r="AH336" s="45"/>
      <c r="AI336" s="45"/>
      <c r="AJ336" s="45"/>
      <c r="AK336" s="45"/>
      <c r="AL336" s="45"/>
      <c r="AM336" s="43"/>
      <c r="AN336" s="43"/>
      <c r="AO336" s="43"/>
      <c r="AP336" s="43"/>
    </row>
    <row r="337" spans="1:42" x14ac:dyDescent="0.3">
      <c r="B337" s="39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AA337" s="39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</row>
    <row r="338" spans="1:42" x14ac:dyDescent="0.3">
      <c r="A338" s="44"/>
      <c r="B338" s="44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4"/>
      <c r="AA338" s="44"/>
      <c r="AB338" s="45"/>
      <c r="AC338" s="45"/>
      <c r="AD338" s="45"/>
      <c r="AE338" s="45"/>
      <c r="AF338" s="45"/>
      <c r="AG338" s="45"/>
      <c r="AH338" s="45"/>
      <c r="AI338" s="45"/>
      <c r="AJ338" s="45"/>
      <c r="AK338" s="45"/>
      <c r="AL338" s="45"/>
      <c r="AM338" s="43"/>
      <c r="AN338" s="43"/>
      <c r="AO338" s="43"/>
      <c r="AP338" s="43"/>
    </row>
    <row r="339" spans="1:42" x14ac:dyDescent="0.3">
      <c r="B339" s="39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AA339" s="39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</row>
    <row r="340" spans="1:42" x14ac:dyDescent="0.3">
      <c r="A340" s="44"/>
      <c r="B340" s="44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4"/>
      <c r="AA340" s="44"/>
      <c r="AB340" s="45"/>
      <c r="AC340" s="45"/>
      <c r="AD340" s="45"/>
      <c r="AE340" s="45"/>
      <c r="AF340" s="45"/>
      <c r="AG340" s="45"/>
      <c r="AH340" s="45"/>
      <c r="AI340" s="45"/>
      <c r="AJ340" s="45"/>
      <c r="AK340" s="45"/>
      <c r="AL340" s="45"/>
      <c r="AM340" s="43"/>
      <c r="AN340" s="43"/>
      <c r="AO340" s="43"/>
      <c r="AP340" s="43"/>
    </row>
    <row r="341" spans="1:42" x14ac:dyDescent="0.3">
      <c r="B341" s="39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AA341" s="39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</row>
    <row r="342" spans="1:42" x14ac:dyDescent="0.3">
      <c r="A342" s="44"/>
      <c r="B342" s="44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4"/>
      <c r="AA342" s="44"/>
      <c r="AB342" s="45"/>
      <c r="AC342" s="45"/>
      <c r="AD342" s="45"/>
      <c r="AE342" s="45"/>
      <c r="AF342" s="45"/>
      <c r="AG342" s="45"/>
      <c r="AH342" s="45"/>
      <c r="AI342" s="45"/>
      <c r="AJ342" s="45"/>
      <c r="AK342" s="45"/>
      <c r="AL342" s="45"/>
      <c r="AM342" s="43"/>
      <c r="AN342" s="43"/>
      <c r="AO342" s="43"/>
      <c r="AP342" s="43"/>
    </row>
    <row r="343" spans="1:42" x14ac:dyDescent="0.3">
      <c r="B343" s="39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AA343" s="39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</row>
    <row r="344" spans="1:42" x14ac:dyDescent="0.3">
      <c r="A344" s="44"/>
      <c r="B344" s="44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4"/>
      <c r="AA344" s="44"/>
      <c r="AB344" s="45"/>
      <c r="AC344" s="45"/>
      <c r="AD344" s="45"/>
      <c r="AE344" s="45"/>
      <c r="AF344" s="45"/>
      <c r="AG344" s="45"/>
      <c r="AH344" s="45"/>
      <c r="AI344" s="45"/>
      <c r="AJ344" s="45"/>
      <c r="AK344" s="45"/>
      <c r="AL344" s="45"/>
      <c r="AM344" s="43"/>
      <c r="AN344" s="43"/>
      <c r="AO344" s="43"/>
      <c r="AP344" s="43"/>
    </row>
    <row r="345" spans="1:42" x14ac:dyDescent="0.3">
      <c r="B345" s="39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AA345" s="39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</row>
    <row r="346" spans="1:42" x14ac:dyDescent="0.3">
      <c r="A346" s="44"/>
      <c r="B346" s="44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4"/>
      <c r="AA346" s="44"/>
      <c r="AB346" s="45"/>
      <c r="AC346" s="45"/>
      <c r="AD346" s="45"/>
      <c r="AE346" s="45"/>
      <c r="AF346" s="45"/>
      <c r="AG346" s="45"/>
      <c r="AH346" s="45"/>
      <c r="AI346" s="45"/>
      <c r="AJ346" s="45"/>
      <c r="AK346" s="45"/>
      <c r="AL346" s="45"/>
      <c r="AM346" s="43"/>
      <c r="AN346" s="43"/>
      <c r="AO346" s="43"/>
      <c r="AP346" s="43"/>
    </row>
    <row r="347" spans="1:42" x14ac:dyDescent="0.3">
      <c r="B347" s="39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AA347" s="39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</row>
    <row r="348" spans="1:42" x14ac:dyDescent="0.3">
      <c r="A348" s="44"/>
      <c r="B348" s="44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4"/>
      <c r="AA348" s="44"/>
      <c r="AB348" s="45"/>
      <c r="AC348" s="45"/>
      <c r="AD348" s="45"/>
      <c r="AE348" s="45"/>
      <c r="AF348" s="45"/>
      <c r="AG348" s="45"/>
      <c r="AH348" s="45"/>
      <c r="AI348" s="45"/>
      <c r="AJ348" s="45"/>
      <c r="AK348" s="45"/>
      <c r="AL348" s="45"/>
      <c r="AM348" s="43"/>
      <c r="AN348" s="43"/>
      <c r="AO348" s="43"/>
      <c r="AP348" s="43"/>
    </row>
    <row r="349" spans="1:42" x14ac:dyDescent="0.3">
      <c r="B349" s="39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AA349" s="39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</row>
    <row r="350" spans="1:42" x14ac:dyDescent="0.3">
      <c r="A350" s="44"/>
      <c r="B350" s="44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4"/>
      <c r="AA350" s="44"/>
      <c r="AB350" s="45"/>
      <c r="AC350" s="45"/>
      <c r="AD350" s="45"/>
      <c r="AE350" s="45"/>
      <c r="AF350" s="45"/>
      <c r="AG350" s="45"/>
      <c r="AH350" s="45"/>
      <c r="AI350" s="45"/>
      <c r="AJ350" s="45"/>
      <c r="AK350" s="45"/>
      <c r="AL350" s="45"/>
      <c r="AM350" s="43"/>
      <c r="AN350" s="43"/>
      <c r="AO350" s="43"/>
      <c r="AP350" s="43"/>
    </row>
    <row r="351" spans="1:42" x14ac:dyDescent="0.3">
      <c r="B351" s="39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AA351" s="39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</row>
    <row r="352" spans="1:42" x14ac:dyDescent="0.3">
      <c r="A352" s="44"/>
      <c r="B352" s="44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4"/>
      <c r="AA352" s="44"/>
      <c r="AB352" s="45"/>
      <c r="AC352" s="45"/>
      <c r="AD352" s="45"/>
      <c r="AE352" s="45"/>
      <c r="AF352" s="45"/>
      <c r="AG352" s="45"/>
      <c r="AH352" s="45"/>
      <c r="AI352" s="45"/>
      <c r="AJ352" s="45"/>
      <c r="AK352" s="45"/>
      <c r="AL352" s="45"/>
      <c r="AM352" s="43"/>
      <c r="AN352" s="43"/>
      <c r="AO352" s="43"/>
      <c r="AP352" s="43"/>
    </row>
    <row r="353" spans="1:42" x14ac:dyDescent="0.3">
      <c r="B353" s="39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AA353" s="39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</row>
    <row r="354" spans="1:42" x14ac:dyDescent="0.3">
      <c r="A354" s="44"/>
      <c r="B354" s="44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4"/>
      <c r="AA354" s="44"/>
      <c r="AB354" s="45"/>
      <c r="AC354" s="45"/>
      <c r="AD354" s="45"/>
      <c r="AE354" s="45"/>
      <c r="AF354" s="45"/>
      <c r="AG354" s="45"/>
      <c r="AH354" s="45"/>
      <c r="AI354" s="45"/>
      <c r="AJ354" s="45"/>
      <c r="AK354" s="45"/>
      <c r="AL354" s="45"/>
      <c r="AM354" s="43"/>
      <c r="AN354" s="43"/>
      <c r="AO354" s="43"/>
      <c r="AP354" s="43"/>
    </row>
    <row r="355" spans="1:42" x14ac:dyDescent="0.3">
      <c r="B355" s="39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AA355" s="39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</row>
    <row r="356" spans="1:42" x14ac:dyDescent="0.3">
      <c r="A356" s="44"/>
      <c r="B356" s="44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4"/>
      <c r="AA356" s="44"/>
      <c r="AB356" s="45"/>
      <c r="AC356" s="45"/>
      <c r="AD356" s="45"/>
      <c r="AE356" s="45"/>
      <c r="AF356" s="45"/>
      <c r="AG356" s="45"/>
      <c r="AH356" s="45"/>
      <c r="AI356" s="45"/>
      <c r="AJ356" s="45"/>
      <c r="AK356" s="45"/>
      <c r="AL356" s="45"/>
      <c r="AM356" s="43"/>
      <c r="AN356" s="43"/>
      <c r="AO356" s="43"/>
      <c r="AP356" s="43"/>
    </row>
    <row r="357" spans="1:42" x14ac:dyDescent="0.3">
      <c r="B357" s="39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AA357" s="39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</row>
    <row r="358" spans="1:42" x14ac:dyDescent="0.3">
      <c r="A358" s="44"/>
      <c r="B358" s="44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4"/>
      <c r="AA358" s="44"/>
      <c r="AB358" s="45"/>
      <c r="AC358" s="45"/>
      <c r="AD358" s="45"/>
      <c r="AE358" s="45"/>
      <c r="AF358" s="45"/>
      <c r="AG358" s="45"/>
      <c r="AH358" s="45"/>
      <c r="AI358" s="45"/>
      <c r="AJ358" s="45"/>
      <c r="AK358" s="45"/>
      <c r="AL358" s="45"/>
      <c r="AM358" s="43"/>
      <c r="AN358" s="43"/>
      <c r="AO358" s="43"/>
      <c r="AP358" s="43"/>
    </row>
    <row r="359" spans="1:42" x14ac:dyDescent="0.3">
      <c r="B359" s="39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AA359" s="39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</row>
    <row r="360" spans="1:42" x14ac:dyDescent="0.3">
      <c r="A360" s="44"/>
      <c r="B360" s="44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4"/>
      <c r="AA360" s="44"/>
      <c r="AB360" s="45"/>
      <c r="AC360" s="45"/>
      <c r="AD360" s="45"/>
      <c r="AE360" s="45"/>
      <c r="AF360" s="45"/>
      <c r="AG360" s="45"/>
      <c r="AH360" s="45"/>
      <c r="AI360" s="45"/>
      <c r="AJ360" s="45"/>
      <c r="AK360" s="45"/>
      <c r="AL360" s="45"/>
      <c r="AM360" s="43"/>
      <c r="AN360" s="43"/>
      <c r="AO360" s="43"/>
      <c r="AP360" s="43"/>
    </row>
    <row r="361" spans="1:42" x14ac:dyDescent="0.3">
      <c r="B361" s="39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AA361" s="39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</row>
    <row r="362" spans="1:42" x14ac:dyDescent="0.3">
      <c r="A362" s="44"/>
      <c r="B362" s="44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4"/>
      <c r="AA362" s="44"/>
      <c r="AB362" s="45"/>
      <c r="AC362" s="45"/>
      <c r="AD362" s="45"/>
      <c r="AE362" s="45"/>
      <c r="AF362" s="45"/>
      <c r="AG362" s="45"/>
      <c r="AH362" s="45"/>
      <c r="AI362" s="45"/>
      <c r="AJ362" s="45"/>
      <c r="AK362" s="45"/>
      <c r="AL362" s="45"/>
      <c r="AM362" s="43"/>
      <c r="AN362" s="43"/>
      <c r="AO362" s="43"/>
      <c r="AP362" s="43"/>
    </row>
    <row r="363" spans="1:42" x14ac:dyDescent="0.3">
      <c r="B363" s="39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AA363" s="39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</row>
    <row r="364" spans="1:42" x14ac:dyDescent="0.3">
      <c r="A364" s="44"/>
      <c r="B364" s="44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4"/>
      <c r="AA364" s="44"/>
      <c r="AB364" s="45"/>
      <c r="AC364" s="45"/>
      <c r="AD364" s="45"/>
      <c r="AE364" s="45"/>
      <c r="AF364" s="45"/>
      <c r="AG364" s="45"/>
      <c r="AH364" s="45"/>
      <c r="AI364" s="45"/>
      <c r="AJ364" s="45"/>
      <c r="AK364" s="45"/>
      <c r="AL364" s="45"/>
      <c r="AM364" s="43"/>
      <c r="AN364" s="43"/>
      <c r="AO364" s="43"/>
      <c r="AP364" s="43"/>
    </row>
    <row r="365" spans="1:42" x14ac:dyDescent="0.3">
      <c r="B365" s="39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AA365" s="39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</row>
    <row r="366" spans="1:42" x14ac:dyDescent="0.3">
      <c r="A366" s="44"/>
      <c r="B366" s="44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4"/>
      <c r="AA366" s="44"/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3"/>
      <c r="AN366" s="43"/>
      <c r="AO366" s="43"/>
      <c r="AP366" s="43"/>
    </row>
    <row r="367" spans="1:42" x14ac:dyDescent="0.3">
      <c r="B367" s="39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AA367" s="39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</row>
    <row r="368" spans="1:42" x14ac:dyDescent="0.3">
      <c r="A368" s="44"/>
      <c r="B368" s="44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4"/>
      <c r="AA368" s="44"/>
      <c r="AB368" s="45"/>
      <c r="AC368" s="45"/>
      <c r="AD368" s="45"/>
      <c r="AE368" s="45"/>
      <c r="AF368" s="45"/>
      <c r="AG368" s="45"/>
      <c r="AH368" s="45"/>
      <c r="AI368" s="45"/>
      <c r="AJ368" s="45"/>
      <c r="AK368" s="45"/>
      <c r="AL368" s="45"/>
      <c r="AM368" s="43"/>
      <c r="AN368" s="43"/>
      <c r="AO368" s="43"/>
      <c r="AP368" s="43"/>
    </row>
    <row r="369" spans="1:42" x14ac:dyDescent="0.3">
      <c r="B369" s="39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AA369" s="39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</row>
    <row r="370" spans="1:42" x14ac:dyDescent="0.3">
      <c r="A370" s="44"/>
      <c r="B370" s="44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4"/>
      <c r="AA370" s="44"/>
      <c r="AB370" s="45"/>
      <c r="AC370" s="45"/>
      <c r="AD370" s="45"/>
      <c r="AE370" s="45"/>
      <c r="AF370" s="45"/>
      <c r="AG370" s="45"/>
      <c r="AH370" s="45"/>
      <c r="AI370" s="45"/>
      <c r="AJ370" s="45"/>
      <c r="AK370" s="45"/>
      <c r="AL370" s="45"/>
      <c r="AM370" s="43"/>
      <c r="AN370" s="43"/>
      <c r="AO370" s="43"/>
      <c r="AP370" s="43"/>
    </row>
    <row r="371" spans="1:42" x14ac:dyDescent="0.3">
      <c r="B371" s="39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AA371" s="39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</row>
    <row r="372" spans="1:42" x14ac:dyDescent="0.3">
      <c r="A372" s="44"/>
      <c r="B372" s="44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4"/>
      <c r="AA372" s="44"/>
      <c r="AB372" s="45"/>
      <c r="AC372" s="45"/>
      <c r="AD372" s="45"/>
      <c r="AE372" s="45"/>
      <c r="AF372" s="45"/>
      <c r="AG372" s="45"/>
      <c r="AH372" s="45"/>
      <c r="AI372" s="45"/>
      <c r="AJ372" s="45"/>
      <c r="AK372" s="45"/>
      <c r="AL372" s="45"/>
      <c r="AM372" s="43"/>
      <c r="AN372" s="43"/>
      <c r="AO372" s="43"/>
      <c r="AP372" s="43"/>
    </row>
    <row r="373" spans="1:42" x14ac:dyDescent="0.3">
      <c r="B373" s="39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AA373" s="39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</row>
    <row r="374" spans="1:42" x14ac:dyDescent="0.3">
      <c r="A374" s="44"/>
      <c r="B374" s="44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4"/>
      <c r="AA374" s="44"/>
      <c r="AB374" s="45"/>
      <c r="AC374" s="45"/>
      <c r="AD374" s="45"/>
      <c r="AE374" s="45"/>
      <c r="AF374" s="45"/>
      <c r="AG374" s="45"/>
      <c r="AH374" s="45"/>
      <c r="AI374" s="45"/>
      <c r="AJ374" s="45"/>
      <c r="AK374" s="45"/>
      <c r="AL374" s="45"/>
      <c r="AM374" s="43"/>
      <c r="AN374" s="43"/>
      <c r="AO374" s="43"/>
      <c r="AP374" s="43"/>
    </row>
    <row r="375" spans="1:42" x14ac:dyDescent="0.3">
      <c r="B375" s="39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AA375" s="39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</row>
    <row r="376" spans="1:42" x14ac:dyDescent="0.3">
      <c r="A376" s="44"/>
      <c r="B376" s="44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4"/>
      <c r="AA376" s="44"/>
      <c r="AB376" s="45"/>
      <c r="AC376" s="45"/>
      <c r="AD376" s="45"/>
      <c r="AE376" s="45"/>
      <c r="AF376" s="45"/>
      <c r="AG376" s="45"/>
      <c r="AH376" s="45"/>
      <c r="AI376" s="45"/>
      <c r="AJ376" s="45"/>
      <c r="AK376" s="45"/>
      <c r="AL376" s="45"/>
      <c r="AM376" s="43"/>
      <c r="AN376" s="43"/>
      <c r="AO376" s="43"/>
      <c r="AP376" s="43"/>
    </row>
    <row r="377" spans="1:42" x14ac:dyDescent="0.3">
      <c r="B377" s="39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AA377" s="39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</row>
    <row r="378" spans="1:42" x14ac:dyDescent="0.3">
      <c r="A378" s="44"/>
      <c r="B378" s="44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4"/>
      <c r="AA378" s="44"/>
      <c r="AB378" s="45"/>
      <c r="AC378" s="45"/>
      <c r="AD378" s="45"/>
      <c r="AE378" s="45"/>
      <c r="AF378" s="45"/>
      <c r="AG378" s="45"/>
      <c r="AH378" s="45"/>
      <c r="AI378" s="45"/>
      <c r="AJ378" s="45"/>
      <c r="AK378" s="45"/>
      <c r="AL378" s="45"/>
      <c r="AM378" s="43"/>
      <c r="AN378" s="43"/>
      <c r="AO378" s="43"/>
      <c r="AP378" s="43"/>
    </row>
    <row r="379" spans="1:42" x14ac:dyDescent="0.3">
      <c r="B379" s="39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AA379" s="39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</row>
    <row r="380" spans="1:42" x14ac:dyDescent="0.3">
      <c r="A380" s="44"/>
      <c r="B380" s="44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4"/>
      <c r="AA380" s="44"/>
      <c r="AB380" s="45"/>
      <c r="AC380" s="45"/>
      <c r="AD380" s="45"/>
      <c r="AE380" s="45"/>
      <c r="AF380" s="45"/>
      <c r="AG380" s="45"/>
      <c r="AH380" s="45"/>
      <c r="AI380" s="45"/>
      <c r="AJ380" s="45"/>
      <c r="AK380" s="45"/>
      <c r="AL380" s="45"/>
      <c r="AM380" s="43"/>
      <c r="AN380" s="43"/>
      <c r="AO380" s="43"/>
      <c r="AP380" s="43"/>
    </row>
    <row r="381" spans="1:42" x14ac:dyDescent="0.3">
      <c r="B381" s="39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AA381" s="39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</row>
    <row r="382" spans="1:42" x14ac:dyDescent="0.3">
      <c r="A382" s="44"/>
      <c r="B382" s="44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4"/>
      <c r="AA382" s="44"/>
      <c r="AB382" s="45"/>
      <c r="AC382" s="45"/>
      <c r="AD382" s="45"/>
      <c r="AE382" s="45"/>
      <c r="AF382" s="45"/>
      <c r="AG382" s="45"/>
      <c r="AH382" s="45"/>
      <c r="AI382" s="45"/>
      <c r="AJ382" s="45"/>
      <c r="AK382" s="45"/>
      <c r="AL382" s="45"/>
      <c r="AM382" s="43"/>
      <c r="AN382" s="43"/>
      <c r="AO382" s="43"/>
      <c r="AP382" s="43"/>
    </row>
    <row r="383" spans="1:42" x14ac:dyDescent="0.3">
      <c r="B383" s="39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AA383" s="39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</row>
    <row r="384" spans="1:42" x14ac:dyDescent="0.3">
      <c r="A384" s="44"/>
      <c r="B384" s="44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4"/>
      <c r="AA384" s="44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3"/>
      <c r="AN384" s="43"/>
      <c r="AO384" s="43"/>
      <c r="AP384" s="43"/>
    </row>
    <row r="385" spans="1:42" x14ac:dyDescent="0.3">
      <c r="B385" s="39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AA385" s="39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</row>
    <row r="386" spans="1:42" x14ac:dyDescent="0.3">
      <c r="A386" s="44"/>
      <c r="B386" s="44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4"/>
      <c r="AA386" s="44"/>
      <c r="AB386" s="45"/>
      <c r="AC386" s="45"/>
      <c r="AD386" s="45"/>
      <c r="AE386" s="45"/>
      <c r="AF386" s="45"/>
      <c r="AG386" s="45"/>
      <c r="AH386" s="45"/>
      <c r="AI386" s="45"/>
      <c r="AJ386" s="45"/>
      <c r="AK386" s="45"/>
      <c r="AL386" s="45"/>
      <c r="AM386" s="43"/>
      <c r="AN386" s="43"/>
      <c r="AO386" s="43"/>
      <c r="AP386" s="43"/>
    </row>
    <row r="387" spans="1:42" x14ac:dyDescent="0.3">
      <c r="B387" s="39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AA387" s="39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</row>
    <row r="388" spans="1:42" x14ac:dyDescent="0.3">
      <c r="A388" s="44"/>
      <c r="B388" s="44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4"/>
      <c r="AA388" s="44"/>
      <c r="AB388" s="45"/>
      <c r="AC388" s="45"/>
      <c r="AD388" s="45"/>
      <c r="AE388" s="45"/>
      <c r="AF388" s="45"/>
      <c r="AG388" s="45"/>
      <c r="AH388" s="45"/>
      <c r="AI388" s="45"/>
      <c r="AJ388" s="45"/>
      <c r="AK388" s="45"/>
      <c r="AL388" s="45"/>
      <c r="AM388" s="43"/>
      <c r="AN388" s="43"/>
      <c r="AO388" s="43"/>
      <c r="AP388" s="43"/>
    </row>
    <row r="389" spans="1:42" x14ac:dyDescent="0.3">
      <c r="B389" s="39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AA389" s="39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</row>
    <row r="390" spans="1:42" x14ac:dyDescent="0.3">
      <c r="A390" s="44"/>
      <c r="B390" s="44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4"/>
      <c r="AA390" s="44"/>
      <c r="AB390" s="45"/>
      <c r="AC390" s="45"/>
      <c r="AD390" s="45"/>
      <c r="AE390" s="45"/>
      <c r="AF390" s="45"/>
      <c r="AG390" s="45"/>
      <c r="AH390" s="45"/>
      <c r="AI390" s="45"/>
      <c r="AJ390" s="45"/>
      <c r="AK390" s="45"/>
      <c r="AL390" s="45"/>
      <c r="AM390" s="43"/>
      <c r="AN390" s="43"/>
      <c r="AO390" s="43"/>
      <c r="AP390" s="43"/>
    </row>
    <row r="391" spans="1:42" x14ac:dyDescent="0.3">
      <c r="B391" s="39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AA391" s="39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</row>
    <row r="392" spans="1:42" x14ac:dyDescent="0.3">
      <c r="A392" s="44"/>
      <c r="B392" s="44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4"/>
      <c r="AA392" s="44"/>
      <c r="AB392" s="45"/>
      <c r="AC392" s="45"/>
      <c r="AD392" s="45"/>
      <c r="AE392" s="45"/>
      <c r="AF392" s="45"/>
      <c r="AG392" s="45"/>
      <c r="AH392" s="45"/>
      <c r="AI392" s="45"/>
      <c r="AJ392" s="45"/>
      <c r="AK392" s="45"/>
      <c r="AL392" s="45"/>
      <c r="AM392" s="43"/>
      <c r="AN392" s="43"/>
      <c r="AO392" s="43"/>
      <c r="AP392" s="43"/>
    </row>
    <row r="393" spans="1:42" x14ac:dyDescent="0.3">
      <c r="B393" s="39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AA393" s="39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</row>
    <row r="394" spans="1:42" x14ac:dyDescent="0.3">
      <c r="A394" s="44"/>
      <c r="B394" s="44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4"/>
      <c r="AA394" s="44"/>
      <c r="AB394" s="45"/>
      <c r="AC394" s="45"/>
      <c r="AD394" s="45"/>
      <c r="AE394" s="45"/>
      <c r="AF394" s="45"/>
      <c r="AG394" s="45"/>
      <c r="AH394" s="45"/>
      <c r="AI394" s="45"/>
      <c r="AJ394" s="45"/>
      <c r="AK394" s="45"/>
      <c r="AL394" s="45"/>
      <c r="AM394" s="43"/>
      <c r="AN394" s="43"/>
      <c r="AO394" s="43"/>
      <c r="AP394" s="43"/>
    </row>
    <row r="395" spans="1:42" x14ac:dyDescent="0.3">
      <c r="B395" s="39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AA395" s="39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</row>
    <row r="396" spans="1:42" x14ac:dyDescent="0.3">
      <c r="A396" s="44"/>
      <c r="B396" s="44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4"/>
      <c r="AA396" s="44"/>
      <c r="AB396" s="45"/>
      <c r="AC396" s="45"/>
      <c r="AD396" s="45"/>
      <c r="AE396" s="45"/>
      <c r="AF396" s="45"/>
      <c r="AG396" s="45"/>
      <c r="AH396" s="45"/>
      <c r="AI396" s="45"/>
      <c r="AJ396" s="45"/>
      <c r="AK396" s="45"/>
      <c r="AL396" s="45"/>
      <c r="AM396" s="43"/>
      <c r="AN396" s="43"/>
      <c r="AO396" s="43"/>
      <c r="AP396" s="43"/>
    </row>
    <row r="397" spans="1:42" x14ac:dyDescent="0.3">
      <c r="B397" s="39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AA397" s="39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</row>
    <row r="398" spans="1:42" x14ac:dyDescent="0.3">
      <c r="A398" s="44"/>
      <c r="B398" s="44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4"/>
      <c r="AA398" s="44"/>
      <c r="AB398" s="45"/>
      <c r="AC398" s="45"/>
      <c r="AD398" s="45"/>
      <c r="AE398" s="45"/>
      <c r="AF398" s="45"/>
      <c r="AG398" s="45"/>
      <c r="AH398" s="45"/>
      <c r="AI398" s="45"/>
      <c r="AJ398" s="45"/>
      <c r="AK398" s="45"/>
      <c r="AL398" s="45"/>
      <c r="AM398" s="43"/>
      <c r="AN398" s="43"/>
      <c r="AO398" s="43"/>
      <c r="AP398" s="43"/>
    </row>
    <row r="399" spans="1:42" x14ac:dyDescent="0.3">
      <c r="B399" s="39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AA399" s="39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</row>
    <row r="400" spans="1:42" x14ac:dyDescent="0.3">
      <c r="A400" s="44"/>
      <c r="B400" s="44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4"/>
      <c r="AA400" s="44"/>
      <c r="AB400" s="45"/>
      <c r="AC400" s="45"/>
      <c r="AD400" s="45"/>
      <c r="AE400" s="45"/>
      <c r="AF400" s="45"/>
      <c r="AG400" s="45"/>
      <c r="AH400" s="45"/>
      <c r="AI400" s="45"/>
      <c r="AJ400" s="45"/>
      <c r="AK400" s="45"/>
      <c r="AL400" s="45"/>
      <c r="AM400" s="43"/>
      <c r="AN400" s="43"/>
      <c r="AO400" s="43"/>
      <c r="AP400" s="43"/>
    </row>
    <row r="401" spans="1:42" x14ac:dyDescent="0.3">
      <c r="B401" s="39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AA401" s="39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</row>
    <row r="402" spans="1:42" x14ac:dyDescent="0.3">
      <c r="A402" s="44"/>
      <c r="B402" s="44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4"/>
      <c r="AA402" s="44"/>
      <c r="AB402" s="45"/>
      <c r="AC402" s="45"/>
      <c r="AD402" s="45"/>
      <c r="AE402" s="45"/>
      <c r="AF402" s="45"/>
      <c r="AG402" s="45"/>
      <c r="AH402" s="45"/>
      <c r="AI402" s="45"/>
      <c r="AJ402" s="45"/>
      <c r="AK402" s="45"/>
      <c r="AL402" s="45"/>
      <c r="AM402" s="43"/>
      <c r="AN402" s="43"/>
      <c r="AO402" s="43"/>
      <c r="AP402" s="43"/>
    </row>
    <row r="403" spans="1:42" x14ac:dyDescent="0.3">
      <c r="B403" s="39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AA403" s="39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</row>
    <row r="404" spans="1:42" x14ac:dyDescent="0.3">
      <c r="A404" s="44"/>
      <c r="B404" s="44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4"/>
      <c r="AA404" s="44"/>
      <c r="AB404" s="45"/>
      <c r="AC404" s="45"/>
      <c r="AD404" s="45"/>
      <c r="AE404" s="45"/>
      <c r="AF404" s="45"/>
      <c r="AG404" s="45"/>
      <c r="AH404" s="45"/>
      <c r="AI404" s="45"/>
      <c r="AJ404" s="45"/>
      <c r="AK404" s="45"/>
      <c r="AL404" s="45"/>
      <c r="AM404" s="43"/>
      <c r="AN404" s="43"/>
      <c r="AO404" s="43"/>
      <c r="AP404" s="43"/>
    </row>
    <row r="405" spans="1:42" x14ac:dyDescent="0.3">
      <c r="B405" s="39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AA405" s="39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</row>
    <row r="406" spans="1:42" x14ac:dyDescent="0.3">
      <c r="A406" s="44"/>
      <c r="B406" s="44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4"/>
      <c r="AA406" s="44"/>
      <c r="AB406" s="45"/>
      <c r="AC406" s="45"/>
      <c r="AD406" s="45"/>
      <c r="AE406" s="45"/>
      <c r="AF406" s="45"/>
      <c r="AG406" s="45"/>
      <c r="AH406" s="45"/>
      <c r="AI406" s="45"/>
      <c r="AJ406" s="45"/>
      <c r="AK406" s="45"/>
      <c r="AL406" s="45"/>
      <c r="AM406" s="43"/>
      <c r="AN406" s="43"/>
      <c r="AO406" s="43"/>
      <c r="AP406" s="43"/>
    </row>
    <row r="407" spans="1:42" x14ac:dyDescent="0.3">
      <c r="B407" s="39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AA407" s="39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</row>
    <row r="408" spans="1:42" x14ac:dyDescent="0.3">
      <c r="A408" s="44"/>
      <c r="B408" s="44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4"/>
      <c r="AA408" s="44"/>
      <c r="AB408" s="45"/>
      <c r="AC408" s="45"/>
      <c r="AD408" s="45"/>
      <c r="AE408" s="45"/>
      <c r="AF408" s="45"/>
      <c r="AG408" s="45"/>
      <c r="AH408" s="45"/>
      <c r="AI408" s="45"/>
      <c r="AJ408" s="45"/>
      <c r="AK408" s="45"/>
      <c r="AL408" s="45"/>
      <c r="AM408" s="43"/>
      <c r="AN408" s="43"/>
      <c r="AO408" s="43"/>
      <c r="AP408" s="43"/>
    </row>
    <row r="409" spans="1:42" x14ac:dyDescent="0.3">
      <c r="B409" s="39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AA409" s="39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</row>
    <row r="410" spans="1:42" x14ac:dyDescent="0.3">
      <c r="A410" s="44"/>
      <c r="B410" s="44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4"/>
      <c r="AA410" s="44"/>
      <c r="AB410" s="45"/>
      <c r="AC410" s="45"/>
      <c r="AD410" s="45"/>
      <c r="AE410" s="45"/>
      <c r="AF410" s="45"/>
      <c r="AG410" s="45"/>
      <c r="AH410" s="45"/>
      <c r="AI410" s="45"/>
      <c r="AJ410" s="45"/>
      <c r="AK410" s="45"/>
      <c r="AL410" s="45"/>
      <c r="AM410" s="43"/>
      <c r="AN410" s="43"/>
      <c r="AO410" s="43"/>
      <c r="AP410" s="43"/>
    </row>
    <row r="411" spans="1:42" x14ac:dyDescent="0.3">
      <c r="B411" s="39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AA411" s="39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</row>
    <row r="412" spans="1:42" x14ac:dyDescent="0.3">
      <c r="A412" s="44"/>
      <c r="B412" s="44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4"/>
      <c r="AA412" s="44"/>
      <c r="AB412" s="45"/>
      <c r="AC412" s="45"/>
      <c r="AD412" s="45"/>
      <c r="AE412" s="45"/>
      <c r="AF412" s="45"/>
      <c r="AG412" s="45"/>
      <c r="AH412" s="45"/>
      <c r="AI412" s="45"/>
      <c r="AJ412" s="45"/>
      <c r="AK412" s="45"/>
      <c r="AL412" s="45"/>
      <c r="AM412" s="43"/>
      <c r="AN412" s="43"/>
      <c r="AO412" s="43"/>
      <c r="AP412" s="43"/>
    </row>
    <row r="413" spans="1:42" x14ac:dyDescent="0.3">
      <c r="B413" s="39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AA413" s="39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</row>
    <row r="414" spans="1:42" x14ac:dyDescent="0.3">
      <c r="A414" s="44"/>
      <c r="B414" s="44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4"/>
      <c r="AA414" s="44"/>
      <c r="AB414" s="45"/>
      <c r="AC414" s="45"/>
      <c r="AD414" s="45"/>
      <c r="AE414" s="45"/>
      <c r="AF414" s="45"/>
      <c r="AG414" s="45"/>
      <c r="AH414" s="45"/>
      <c r="AI414" s="45"/>
      <c r="AJ414" s="45"/>
      <c r="AK414" s="45"/>
      <c r="AL414" s="45"/>
      <c r="AM414" s="43"/>
      <c r="AN414" s="43"/>
      <c r="AO414" s="43"/>
      <c r="AP414" s="43"/>
    </row>
    <row r="415" spans="1:42" x14ac:dyDescent="0.3">
      <c r="B415" s="39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AA415" s="39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</row>
    <row r="416" spans="1:42" x14ac:dyDescent="0.3">
      <c r="A416" s="44"/>
      <c r="B416" s="44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4"/>
      <c r="AA416" s="44"/>
      <c r="AB416" s="45"/>
      <c r="AC416" s="45"/>
      <c r="AD416" s="45"/>
      <c r="AE416" s="45"/>
      <c r="AF416" s="45"/>
      <c r="AG416" s="45"/>
      <c r="AH416" s="45"/>
      <c r="AI416" s="45"/>
      <c r="AJ416" s="45"/>
      <c r="AK416" s="45"/>
      <c r="AL416" s="45"/>
      <c r="AM416" s="43"/>
      <c r="AN416" s="43"/>
      <c r="AO416" s="43"/>
      <c r="AP416" s="43"/>
    </row>
    <row r="417" spans="1:42" x14ac:dyDescent="0.3">
      <c r="B417" s="39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AA417" s="39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</row>
    <row r="418" spans="1:42" x14ac:dyDescent="0.3">
      <c r="A418" s="44"/>
      <c r="B418" s="44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4"/>
      <c r="AA418" s="44"/>
      <c r="AB418" s="45"/>
      <c r="AC418" s="45"/>
      <c r="AD418" s="45"/>
      <c r="AE418" s="45"/>
      <c r="AF418" s="45"/>
      <c r="AG418" s="45"/>
      <c r="AH418" s="45"/>
      <c r="AI418" s="45"/>
      <c r="AJ418" s="45"/>
      <c r="AK418" s="45"/>
      <c r="AL418" s="45"/>
      <c r="AM418" s="43"/>
      <c r="AN418" s="43"/>
      <c r="AO418" s="43"/>
      <c r="AP418" s="43"/>
    </row>
    <row r="419" spans="1:42" x14ac:dyDescent="0.3">
      <c r="B419" s="39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AA419" s="39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</row>
    <row r="420" spans="1:42" x14ac:dyDescent="0.3">
      <c r="A420" s="44"/>
      <c r="B420" s="44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4"/>
      <c r="AA420" s="44"/>
      <c r="AB420" s="45"/>
      <c r="AC420" s="45"/>
      <c r="AD420" s="45"/>
      <c r="AE420" s="45"/>
      <c r="AF420" s="45"/>
      <c r="AG420" s="45"/>
      <c r="AH420" s="45"/>
      <c r="AI420" s="45"/>
      <c r="AJ420" s="45"/>
      <c r="AK420" s="45"/>
      <c r="AL420" s="45"/>
      <c r="AM420" s="43"/>
      <c r="AN420" s="43"/>
      <c r="AO420" s="43"/>
      <c r="AP420" s="43"/>
    </row>
    <row r="421" spans="1:42" x14ac:dyDescent="0.3">
      <c r="B421" s="39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AA421" s="39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</row>
    <row r="422" spans="1:42" x14ac:dyDescent="0.3">
      <c r="A422" s="44"/>
      <c r="B422" s="44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4"/>
      <c r="AA422" s="44"/>
      <c r="AB422" s="45"/>
      <c r="AC422" s="45"/>
      <c r="AD422" s="45"/>
      <c r="AE422" s="45"/>
      <c r="AF422" s="45"/>
      <c r="AG422" s="45"/>
      <c r="AH422" s="45"/>
      <c r="AI422" s="45"/>
      <c r="AJ422" s="45"/>
      <c r="AK422" s="45"/>
      <c r="AL422" s="45"/>
      <c r="AM422" s="43"/>
      <c r="AN422" s="43"/>
      <c r="AO422" s="43"/>
      <c r="AP422" s="43"/>
    </row>
    <row r="423" spans="1:42" x14ac:dyDescent="0.3">
      <c r="B423" s="39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AA423" s="39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</row>
    <row r="424" spans="1:42" x14ac:dyDescent="0.3">
      <c r="A424" s="44"/>
      <c r="B424" s="44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4"/>
      <c r="AA424" s="44"/>
      <c r="AB424" s="45"/>
      <c r="AC424" s="45"/>
      <c r="AD424" s="45"/>
      <c r="AE424" s="45"/>
      <c r="AF424" s="45"/>
      <c r="AG424" s="45"/>
      <c r="AH424" s="45"/>
      <c r="AI424" s="45"/>
      <c r="AJ424" s="45"/>
      <c r="AK424" s="45"/>
      <c r="AL424" s="45"/>
      <c r="AM424" s="43"/>
      <c r="AN424" s="43"/>
      <c r="AO424" s="43"/>
      <c r="AP424" s="43"/>
    </row>
    <row r="425" spans="1:42" x14ac:dyDescent="0.3">
      <c r="B425" s="39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AA425" s="39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</row>
    <row r="426" spans="1:42" x14ac:dyDescent="0.3">
      <c r="A426" s="44"/>
      <c r="B426" s="44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4"/>
      <c r="AA426" s="44"/>
      <c r="AB426" s="45"/>
      <c r="AC426" s="45"/>
      <c r="AD426" s="45"/>
      <c r="AE426" s="45"/>
      <c r="AF426" s="45"/>
      <c r="AG426" s="45"/>
      <c r="AH426" s="45"/>
      <c r="AI426" s="45"/>
      <c r="AJ426" s="45"/>
      <c r="AK426" s="45"/>
      <c r="AL426" s="45"/>
      <c r="AM426" s="43"/>
      <c r="AN426" s="43"/>
      <c r="AO426" s="43"/>
      <c r="AP426" s="43"/>
    </row>
    <row r="427" spans="1:42" x14ac:dyDescent="0.3">
      <c r="B427" s="39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AA427" s="39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</row>
    <row r="428" spans="1:42" x14ac:dyDescent="0.3">
      <c r="A428" s="44"/>
      <c r="B428" s="44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4"/>
      <c r="AA428" s="44"/>
      <c r="AB428" s="45"/>
      <c r="AC428" s="45"/>
      <c r="AD428" s="45"/>
      <c r="AE428" s="45"/>
      <c r="AF428" s="45"/>
      <c r="AG428" s="45"/>
      <c r="AH428" s="45"/>
      <c r="AI428" s="45"/>
      <c r="AJ428" s="45"/>
      <c r="AK428" s="45"/>
      <c r="AL428" s="45"/>
      <c r="AM428" s="43"/>
      <c r="AN428" s="43"/>
      <c r="AO428" s="43"/>
      <c r="AP428" s="43"/>
    </row>
    <row r="429" spans="1:42" x14ac:dyDescent="0.3">
      <c r="B429" s="39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AA429" s="39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</row>
    <row r="430" spans="1:42" x14ac:dyDescent="0.3">
      <c r="A430" s="44"/>
      <c r="B430" s="44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4"/>
      <c r="AA430" s="44"/>
      <c r="AB430" s="45"/>
      <c r="AC430" s="45"/>
      <c r="AD430" s="45"/>
      <c r="AE430" s="45"/>
      <c r="AF430" s="45"/>
      <c r="AG430" s="45"/>
      <c r="AH430" s="45"/>
      <c r="AI430" s="45"/>
      <c r="AJ430" s="45"/>
      <c r="AK430" s="45"/>
      <c r="AL430" s="45"/>
      <c r="AM430" s="43"/>
      <c r="AN430" s="43"/>
      <c r="AO430" s="43"/>
      <c r="AP430" s="43"/>
    </row>
    <row r="431" spans="1:42" x14ac:dyDescent="0.3">
      <c r="B431" s="39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AA431" s="39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</row>
    <row r="432" spans="1:42" x14ac:dyDescent="0.3">
      <c r="A432" s="44"/>
      <c r="B432" s="44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4"/>
      <c r="AA432" s="44"/>
      <c r="AB432" s="45"/>
      <c r="AC432" s="45"/>
      <c r="AD432" s="45"/>
      <c r="AE432" s="45"/>
      <c r="AF432" s="45"/>
      <c r="AG432" s="45"/>
      <c r="AH432" s="45"/>
      <c r="AI432" s="45"/>
      <c r="AJ432" s="45"/>
      <c r="AK432" s="45"/>
      <c r="AL432" s="45"/>
      <c r="AM432" s="43"/>
      <c r="AN432" s="43"/>
      <c r="AO432" s="43"/>
      <c r="AP432" s="43"/>
    </row>
    <row r="433" spans="1:42" x14ac:dyDescent="0.3">
      <c r="B433" s="39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AA433" s="39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</row>
    <row r="434" spans="1:42" x14ac:dyDescent="0.3">
      <c r="A434" s="44"/>
      <c r="B434" s="44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4"/>
      <c r="AA434" s="44"/>
      <c r="AB434" s="45"/>
      <c r="AC434" s="45"/>
      <c r="AD434" s="45"/>
      <c r="AE434" s="45"/>
      <c r="AF434" s="45"/>
      <c r="AG434" s="45"/>
      <c r="AH434" s="45"/>
      <c r="AI434" s="45"/>
      <c r="AJ434" s="45"/>
      <c r="AK434" s="45"/>
      <c r="AL434" s="45"/>
      <c r="AM434" s="43"/>
      <c r="AN434" s="43"/>
      <c r="AO434" s="43"/>
      <c r="AP434" s="43"/>
    </row>
    <row r="435" spans="1:42" x14ac:dyDescent="0.3">
      <c r="B435" s="39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AA435" s="39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</row>
    <row r="436" spans="1:42" x14ac:dyDescent="0.3">
      <c r="A436" s="44"/>
      <c r="B436" s="44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4"/>
      <c r="AA436" s="44"/>
      <c r="AB436" s="45"/>
      <c r="AC436" s="45"/>
      <c r="AD436" s="45"/>
      <c r="AE436" s="45"/>
      <c r="AF436" s="45"/>
      <c r="AG436" s="45"/>
      <c r="AH436" s="45"/>
      <c r="AI436" s="45"/>
      <c r="AJ436" s="45"/>
      <c r="AK436" s="45"/>
      <c r="AL436" s="45"/>
      <c r="AM436" s="43"/>
      <c r="AN436" s="43"/>
      <c r="AO436" s="43"/>
      <c r="AP436" s="43"/>
    </row>
    <row r="437" spans="1:42" x14ac:dyDescent="0.3">
      <c r="B437" s="39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AA437" s="39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</row>
    <row r="438" spans="1:42" x14ac:dyDescent="0.3">
      <c r="A438" s="44"/>
      <c r="B438" s="44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4"/>
      <c r="AA438" s="44"/>
      <c r="AB438" s="45"/>
      <c r="AC438" s="45"/>
      <c r="AD438" s="45"/>
      <c r="AE438" s="45"/>
      <c r="AF438" s="45"/>
      <c r="AG438" s="45"/>
      <c r="AH438" s="45"/>
      <c r="AI438" s="45"/>
      <c r="AJ438" s="45"/>
      <c r="AK438" s="45"/>
      <c r="AL438" s="45"/>
      <c r="AM438" s="43"/>
      <c r="AN438" s="43"/>
      <c r="AO438" s="43"/>
      <c r="AP438" s="43"/>
    </row>
    <row r="439" spans="1:42" x14ac:dyDescent="0.3">
      <c r="B439" s="39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AA439" s="39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</row>
    <row r="440" spans="1:42" x14ac:dyDescent="0.3">
      <c r="A440" s="44"/>
      <c r="B440" s="44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4"/>
      <c r="AA440" s="44"/>
      <c r="AB440" s="45"/>
      <c r="AC440" s="45"/>
      <c r="AD440" s="45"/>
      <c r="AE440" s="45"/>
      <c r="AF440" s="45"/>
      <c r="AG440" s="45"/>
      <c r="AH440" s="45"/>
      <c r="AI440" s="45"/>
      <c r="AJ440" s="45"/>
      <c r="AK440" s="45"/>
      <c r="AL440" s="45"/>
      <c r="AM440" s="43"/>
      <c r="AN440" s="43"/>
      <c r="AO440" s="43"/>
      <c r="AP440" s="43"/>
    </row>
    <row r="441" spans="1:42" x14ac:dyDescent="0.3">
      <c r="B441" s="39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AA441" s="39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</row>
    <row r="442" spans="1:42" x14ac:dyDescent="0.3">
      <c r="A442" s="44"/>
      <c r="B442" s="44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4"/>
      <c r="AA442" s="44"/>
      <c r="AB442" s="45"/>
      <c r="AC442" s="45"/>
      <c r="AD442" s="45"/>
      <c r="AE442" s="45"/>
      <c r="AF442" s="45"/>
      <c r="AG442" s="45"/>
      <c r="AH442" s="45"/>
      <c r="AI442" s="45"/>
      <c r="AJ442" s="45"/>
      <c r="AK442" s="45"/>
      <c r="AL442" s="45"/>
      <c r="AM442" s="43"/>
      <c r="AN442" s="43"/>
      <c r="AO442" s="43"/>
      <c r="AP442" s="43"/>
    </row>
    <row r="443" spans="1:42" x14ac:dyDescent="0.3">
      <c r="B443" s="39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AA443" s="39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</row>
    <row r="444" spans="1:42" x14ac:dyDescent="0.3">
      <c r="A444" s="44"/>
      <c r="B444" s="44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4"/>
      <c r="AA444" s="44"/>
      <c r="AB444" s="45"/>
      <c r="AC444" s="45"/>
      <c r="AD444" s="45"/>
      <c r="AE444" s="45"/>
      <c r="AF444" s="45"/>
      <c r="AG444" s="45"/>
      <c r="AH444" s="45"/>
      <c r="AI444" s="45"/>
      <c r="AJ444" s="45"/>
      <c r="AK444" s="45"/>
      <c r="AL444" s="45"/>
      <c r="AM444" s="43"/>
      <c r="AN444" s="43"/>
      <c r="AO444" s="43"/>
      <c r="AP444" s="43"/>
    </row>
    <row r="445" spans="1:42" x14ac:dyDescent="0.3">
      <c r="B445" s="39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AA445" s="39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</row>
    <row r="446" spans="1:42" x14ac:dyDescent="0.3">
      <c r="A446" s="44"/>
      <c r="B446" s="44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4"/>
      <c r="AA446" s="44"/>
      <c r="AB446" s="45"/>
      <c r="AC446" s="45"/>
      <c r="AD446" s="45"/>
      <c r="AE446" s="45"/>
      <c r="AF446" s="45"/>
      <c r="AG446" s="45"/>
      <c r="AH446" s="45"/>
      <c r="AI446" s="45"/>
      <c r="AJ446" s="45"/>
      <c r="AK446" s="45"/>
      <c r="AL446" s="45"/>
      <c r="AM446" s="43"/>
      <c r="AN446" s="43"/>
      <c r="AO446" s="43"/>
      <c r="AP446" s="43"/>
    </row>
    <row r="447" spans="1:42" x14ac:dyDescent="0.3">
      <c r="B447" s="39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AA447" s="39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</row>
    <row r="448" spans="1:42" x14ac:dyDescent="0.3">
      <c r="A448" s="44"/>
      <c r="B448" s="44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4"/>
      <c r="AA448" s="44"/>
      <c r="AB448" s="45"/>
      <c r="AC448" s="45"/>
      <c r="AD448" s="45"/>
      <c r="AE448" s="45"/>
      <c r="AF448" s="45"/>
      <c r="AG448" s="45"/>
      <c r="AH448" s="45"/>
      <c r="AI448" s="45"/>
      <c r="AJ448" s="45"/>
      <c r="AK448" s="45"/>
      <c r="AL448" s="45"/>
      <c r="AM448" s="43"/>
      <c r="AN448" s="43"/>
      <c r="AO448" s="43"/>
      <c r="AP448" s="43"/>
    </row>
    <row r="449" spans="1:42" x14ac:dyDescent="0.3">
      <c r="B449" s="39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AA449" s="39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</row>
    <row r="450" spans="1:42" x14ac:dyDescent="0.3">
      <c r="A450" s="44"/>
      <c r="B450" s="44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4"/>
      <c r="AA450" s="44"/>
      <c r="AB450" s="45"/>
      <c r="AC450" s="45"/>
      <c r="AD450" s="45"/>
      <c r="AE450" s="45"/>
      <c r="AF450" s="45"/>
      <c r="AG450" s="45"/>
      <c r="AH450" s="45"/>
      <c r="AI450" s="45"/>
      <c r="AJ450" s="45"/>
      <c r="AK450" s="45"/>
      <c r="AL450" s="45"/>
      <c r="AM450" s="43"/>
      <c r="AN450" s="43"/>
      <c r="AO450" s="43"/>
      <c r="AP450" s="43"/>
    </row>
    <row r="451" spans="1:42" x14ac:dyDescent="0.3">
      <c r="B451" s="39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AA451" s="39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</row>
    <row r="452" spans="1:42" x14ac:dyDescent="0.3">
      <c r="A452" s="44"/>
      <c r="B452" s="44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4"/>
      <c r="AA452" s="44"/>
      <c r="AB452" s="45"/>
      <c r="AC452" s="45"/>
      <c r="AD452" s="45"/>
      <c r="AE452" s="45"/>
      <c r="AF452" s="45"/>
      <c r="AG452" s="45"/>
      <c r="AH452" s="45"/>
      <c r="AI452" s="45"/>
      <c r="AJ452" s="45"/>
      <c r="AK452" s="45"/>
      <c r="AL452" s="45"/>
      <c r="AM452" s="43"/>
      <c r="AN452" s="43"/>
      <c r="AO452" s="43"/>
      <c r="AP452" s="43"/>
    </row>
    <row r="453" spans="1:42" x14ac:dyDescent="0.3">
      <c r="B453" s="39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AA453" s="39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</row>
    <row r="454" spans="1:42" x14ac:dyDescent="0.3">
      <c r="A454" s="44"/>
      <c r="B454" s="44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4"/>
      <c r="AA454" s="44"/>
      <c r="AB454" s="45"/>
      <c r="AC454" s="45"/>
      <c r="AD454" s="45"/>
      <c r="AE454" s="45"/>
      <c r="AF454" s="45"/>
      <c r="AG454" s="45"/>
      <c r="AH454" s="45"/>
      <c r="AI454" s="45"/>
      <c r="AJ454" s="45"/>
      <c r="AK454" s="45"/>
      <c r="AL454" s="45"/>
      <c r="AM454" s="43"/>
      <c r="AN454" s="43"/>
      <c r="AO454" s="43"/>
      <c r="AP454" s="43"/>
    </row>
    <row r="455" spans="1:42" x14ac:dyDescent="0.3">
      <c r="B455" s="39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AA455" s="39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</row>
    <row r="456" spans="1:42" x14ac:dyDescent="0.3">
      <c r="A456" s="44"/>
      <c r="B456" s="44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4"/>
      <c r="AA456" s="44"/>
      <c r="AB456" s="45"/>
      <c r="AC456" s="45"/>
      <c r="AD456" s="45"/>
      <c r="AE456" s="45"/>
      <c r="AF456" s="45"/>
      <c r="AG456" s="45"/>
      <c r="AH456" s="45"/>
      <c r="AI456" s="45"/>
      <c r="AJ456" s="45"/>
      <c r="AK456" s="45"/>
      <c r="AL456" s="45"/>
      <c r="AM456" s="43"/>
      <c r="AN456" s="43"/>
      <c r="AO456" s="43"/>
      <c r="AP456" s="43"/>
    </row>
    <row r="457" spans="1:42" x14ac:dyDescent="0.3">
      <c r="B457" s="39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AA457" s="39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</row>
    <row r="458" spans="1:42" x14ac:dyDescent="0.3">
      <c r="A458" s="44"/>
      <c r="B458" s="44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4"/>
      <c r="AA458" s="44"/>
      <c r="AB458" s="45"/>
      <c r="AC458" s="45"/>
      <c r="AD458" s="45"/>
      <c r="AE458" s="45"/>
      <c r="AF458" s="45"/>
      <c r="AG458" s="45"/>
      <c r="AH458" s="45"/>
      <c r="AI458" s="45"/>
      <c r="AJ458" s="45"/>
      <c r="AK458" s="45"/>
      <c r="AL458" s="45"/>
      <c r="AM458" s="43"/>
      <c r="AN458" s="43"/>
      <c r="AO458" s="43"/>
      <c r="AP458" s="43"/>
    </row>
    <row r="459" spans="1:42" x14ac:dyDescent="0.3">
      <c r="B459" s="39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AA459" s="39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</row>
    <row r="460" spans="1:42" x14ac:dyDescent="0.3">
      <c r="A460" s="44"/>
      <c r="B460" s="44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4"/>
      <c r="AA460" s="44"/>
      <c r="AB460" s="45"/>
      <c r="AC460" s="45"/>
      <c r="AD460" s="45"/>
      <c r="AE460" s="45"/>
      <c r="AF460" s="45"/>
      <c r="AG460" s="45"/>
      <c r="AH460" s="45"/>
      <c r="AI460" s="45"/>
      <c r="AJ460" s="45"/>
      <c r="AK460" s="45"/>
      <c r="AL460" s="45"/>
      <c r="AM460" s="43"/>
      <c r="AN460" s="43"/>
      <c r="AO460" s="43"/>
      <c r="AP460" s="43"/>
    </row>
    <row r="461" spans="1:42" x14ac:dyDescent="0.3">
      <c r="B461" s="39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AA461" s="39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</row>
    <row r="462" spans="1:42" x14ac:dyDescent="0.3">
      <c r="A462" s="44"/>
      <c r="B462" s="44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4"/>
      <c r="AA462" s="44"/>
      <c r="AB462" s="45"/>
      <c r="AC462" s="45"/>
      <c r="AD462" s="45"/>
      <c r="AE462" s="45"/>
      <c r="AF462" s="45"/>
      <c r="AG462" s="45"/>
      <c r="AH462" s="45"/>
      <c r="AI462" s="45"/>
      <c r="AJ462" s="45"/>
      <c r="AK462" s="45"/>
      <c r="AL462" s="45"/>
      <c r="AM462" s="43"/>
      <c r="AN462" s="43"/>
      <c r="AO462" s="43"/>
      <c r="AP462" s="43"/>
    </row>
    <row r="463" spans="1:42" x14ac:dyDescent="0.3">
      <c r="B463" s="39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AA463" s="39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</row>
    <row r="464" spans="1:42" x14ac:dyDescent="0.3">
      <c r="A464" s="44"/>
      <c r="B464" s="44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4"/>
      <c r="AA464" s="44"/>
      <c r="AB464" s="45"/>
      <c r="AC464" s="45"/>
      <c r="AD464" s="45"/>
      <c r="AE464" s="45"/>
      <c r="AF464" s="45"/>
      <c r="AG464" s="45"/>
      <c r="AH464" s="45"/>
      <c r="AI464" s="45"/>
      <c r="AJ464" s="45"/>
      <c r="AK464" s="45"/>
      <c r="AL464" s="45"/>
      <c r="AM464" s="43"/>
      <c r="AN464" s="43"/>
      <c r="AO464" s="43"/>
      <c r="AP464" s="43"/>
    </row>
    <row r="465" spans="1:42" x14ac:dyDescent="0.3">
      <c r="B465" s="39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AA465" s="39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</row>
    <row r="466" spans="1:42" x14ac:dyDescent="0.3">
      <c r="A466" s="44"/>
      <c r="B466" s="44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4"/>
      <c r="AA466" s="44"/>
      <c r="AB466" s="45"/>
      <c r="AC466" s="45"/>
      <c r="AD466" s="45"/>
      <c r="AE466" s="45"/>
      <c r="AF466" s="45"/>
      <c r="AG466" s="45"/>
      <c r="AH466" s="45"/>
      <c r="AI466" s="45"/>
      <c r="AJ466" s="45"/>
      <c r="AK466" s="45"/>
      <c r="AL466" s="45"/>
      <c r="AM466" s="43"/>
      <c r="AN466" s="43"/>
      <c r="AO466" s="43"/>
      <c r="AP466" s="43"/>
    </row>
    <row r="467" spans="1:42" x14ac:dyDescent="0.3">
      <c r="B467" s="39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AA467" s="39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</row>
    <row r="468" spans="1:42" x14ac:dyDescent="0.3">
      <c r="A468" s="44"/>
      <c r="B468" s="44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4"/>
      <c r="AA468" s="44"/>
      <c r="AB468" s="45"/>
      <c r="AC468" s="45"/>
      <c r="AD468" s="45"/>
      <c r="AE468" s="45"/>
      <c r="AF468" s="45"/>
      <c r="AG468" s="45"/>
      <c r="AH468" s="45"/>
      <c r="AI468" s="45"/>
      <c r="AJ468" s="45"/>
      <c r="AK468" s="45"/>
      <c r="AL468" s="45"/>
      <c r="AM468" s="43"/>
      <c r="AN468" s="43"/>
      <c r="AO468" s="43"/>
      <c r="AP468" s="43"/>
    </row>
    <row r="469" spans="1:42" x14ac:dyDescent="0.3">
      <c r="B469" s="39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AA469" s="39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</row>
    <row r="470" spans="1:42" x14ac:dyDescent="0.3">
      <c r="A470" s="44"/>
      <c r="B470" s="44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4"/>
      <c r="AA470" s="44"/>
      <c r="AB470" s="45"/>
      <c r="AC470" s="45"/>
      <c r="AD470" s="45"/>
      <c r="AE470" s="45"/>
      <c r="AF470" s="45"/>
      <c r="AG470" s="45"/>
      <c r="AH470" s="45"/>
      <c r="AI470" s="45"/>
      <c r="AJ470" s="45"/>
      <c r="AK470" s="45"/>
      <c r="AL470" s="45"/>
      <c r="AM470" s="43"/>
      <c r="AN470" s="43"/>
      <c r="AO470" s="43"/>
      <c r="AP470" s="43"/>
    </row>
    <row r="471" spans="1:42" x14ac:dyDescent="0.3">
      <c r="B471" s="39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AA471" s="39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</row>
    <row r="472" spans="1:42" x14ac:dyDescent="0.3">
      <c r="A472" s="44"/>
      <c r="B472" s="44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4"/>
      <c r="AA472" s="44"/>
      <c r="AB472" s="45"/>
      <c r="AC472" s="45"/>
      <c r="AD472" s="45"/>
      <c r="AE472" s="45"/>
      <c r="AF472" s="45"/>
      <c r="AG472" s="45"/>
      <c r="AH472" s="45"/>
      <c r="AI472" s="45"/>
      <c r="AJ472" s="45"/>
      <c r="AK472" s="45"/>
      <c r="AL472" s="45"/>
      <c r="AM472" s="43"/>
      <c r="AN472" s="43"/>
      <c r="AO472" s="43"/>
      <c r="AP472" s="43"/>
    </row>
    <row r="473" spans="1:42" x14ac:dyDescent="0.3">
      <c r="B473" s="39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AA473" s="39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</row>
    <row r="474" spans="1:42" x14ac:dyDescent="0.3">
      <c r="A474" s="44"/>
      <c r="B474" s="44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4"/>
      <c r="AA474" s="44"/>
      <c r="AB474" s="45"/>
      <c r="AC474" s="45"/>
      <c r="AD474" s="45"/>
      <c r="AE474" s="45"/>
      <c r="AF474" s="45"/>
      <c r="AG474" s="45"/>
      <c r="AH474" s="45"/>
      <c r="AI474" s="45"/>
      <c r="AJ474" s="45"/>
      <c r="AK474" s="45"/>
      <c r="AL474" s="45"/>
      <c r="AM474" s="43"/>
      <c r="AN474" s="43"/>
      <c r="AO474" s="43"/>
      <c r="AP474" s="43"/>
    </row>
    <row r="475" spans="1:42" x14ac:dyDescent="0.3">
      <c r="B475" s="39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AA475" s="39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</row>
    <row r="476" spans="1:42" x14ac:dyDescent="0.3">
      <c r="A476" s="44"/>
      <c r="B476" s="44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4"/>
      <c r="AA476" s="44"/>
      <c r="AB476" s="45"/>
      <c r="AC476" s="45"/>
      <c r="AD476" s="45"/>
      <c r="AE476" s="45"/>
      <c r="AF476" s="45"/>
      <c r="AG476" s="45"/>
      <c r="AH476" s="45"/>
      <c r="AI476" s="45"/>
      <c r="AJ476" s="45"/>
      <c r="AK476" s="45"/>
      <c r="AL476" s="45"/>
      <c r="AM476" s="43"/>
      <c r="AN476" s="43"/>
      <c r="AO476" s="43"/>
      <c r="AP476" s="43"/>
    </row>
    <row r="477" spans="1:42" x14ac:dyDescent="0.3">
      <c r="B477" s="39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AA477" s="39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</row>
    <row r="478" spans="1:42" x14ac:dyDescent="0.3">
      <c r="A478" s="44"/>
      <c r="B478" s="44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4"/>
      <c r="AA478" s="44"/>
      <c r="AB478" s="45"/>
      <c r="AC478" s="45"/>
      <c r="AD478" s="45"/>
      <c r="AE478" s="45"/>
      <c r="AF478" s="45"/>
      <c r="AG478" s="45"/>
      <c r="AH478" s="45"/>
      <c r="AI478" s="45"/>
      <c r="AJ478" s="45"/>
      <c r="AK478" s="45"/>
      <c r="AL478" s="45"/>
      <c r="AM478" s="43"/>
      <c r="AN478" s="43"/>
      <c r="AO478" s="43"/>
      <c r="AP478" s="43"/>
    </row>
    <row r="479" spans="1:42" x14ac:dyDescent="0.3">
      <c r="B479" s="39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AA479" s="39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</row>
    <row r="480" spans="1:42" x14ac:dyDescent="0.3">
      <c r="A480" s="44"/>
      <c r="B480" s="44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4"/>
      <c r="AA480" s="44"/>
      <c r="AB480" s="45"/>
      <c r="AC480" s="45"/>
      <c r="AD480" s="45"/>
      <c r="AE480" s="45"/>
      <c r="AF480" s="45"/>
      <c r="AG480" s="45"/>
      <c r="AH480" s="45"/>
      <c r="AI480" s="45"/>
      <c r="AJ480" s="45"/>
      <c r="AK480" s="45"/>
      <c r="AL480" s="45"/>
      <c r="AM480" s="43"/>
      <c r="AN480" s="43"/>
      <c r="AO480" s="43"/>
      <c r="AP480" s="43"/>
    </row>
    <row r="481" spans="1:42" x14ac:dyDescent="0.3">
      <c r="B481" s="39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AA481" s="39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</row>
    <row r="482" spans="1:42" x14ac:dyDescent="0.3">
      <c r="A482" s="44"/>
      <c r="B482" s="44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4"/>
      <c r="AA482" s="44"/>
      <c r="AB482" s="45"/>
      <c r="AC482" s="45"/>
      <c r="AD482" s="45"/>
      <c r="AE482" s="45"/>
      <c r="AF482" s="45"/>
      <c r="AG482" s="45"/>
      <c r="AH482" s="45"/>
      <c r="AI482" s="45"/>
      <c r="AJ482" s="45"/>
      <c r="AK482" s="45"/>
      <c r="AL482" s="45"/>
      <c r="AM482" s="43"/>
      <c r="AN482" s="43"/>
      <c r="AO482" s="43"/>
      <c r="AP482" s="43"/>
    </row>
    <row r="483" spans="1:42" x14ac:dyDescent="0.3">
      <c r="B483" s="39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AA483" s="39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</row>
    <row r="484" spans="1:42" x14ac:dyDescent="0.3">
      <c r="A484" s="44"/>
      <c r="B484" s="44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4"/>
      <c r="AA484" s="44"/>
      <c r="AB484" s="45"/>
      <c r="AC484" s="45"/>
      <c r="AD484" s="45"/>
      <c r="AE484" s="45"/>
      <c r="AF484" s="45"/>
      <c r="AG484" s="45"/>
      <c r="AH484" s="45"/>
      <c r="AI484" s="45"/>
      <c r="AJ484" s="45"/>
      <c r="AK484" s="45"/>
      <c r="AL484" s="45"/>
      <c r="AM484" s="43"/>
      <c r="AN484" s="43"/>
      <c r="AO484" s="43"/>
      <c r="AP484" s="43"/>
    </row>
    <row r="485" spans="1:42" x14ac:dyDescent="0.3">
      <c r="B485" s="39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AA485" s="39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</row>
    <row r="486" spans="1:42" x14ac:dyDescent="0.3">
      <c r="A486" s="44"/>
      <c r="B486" s="44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4"/>
      <c r="AA486" s="44"/>
      <c r="AB486" s="45"/>
      <c r="AC486" s="45"/>
      <c r="AD486" s="45"/>
      <c r="AE486" s="45"/>
      <c r="AF486" s="45"/>
      <c r="AG486" s="45"/>
      <c r="AH486" s="45"/>
      <c r="AI486" s="45"/>
      <c r="AJ486" s="45"/>
      <c r="AK486" s="45"/>
      <c r="AL486" s="45"/>
      <c r="AM486" s="43"/>
      <c r="AN486" s="43"/>
      <c r="AO486" s="43"/>
      <c r="AP486" s="43"/>
    </row>
    <row r="487" spans="1:42" x14ac:dyDescent="0.3">
      <c r="B487" s="39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AA487" s="39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</row>
    <row r="488" spans="1:42" x14ac:dyDescent="0.3">
      <c r="A488" s="44"/>
      <c r="B488" s="44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4"/>
      <c r="AA488" s="44"/>
      <c r="AB488" s="45"/>
      <c r="AC488" s="45"/>
      <c r="AD488" s="45"/>
      <c r="AE488" s="45"/>
      <c r="AF488" s="45"/>
      <c r="AG488" s="45"/>
      <c r="AH488" s="45"/>
      <c r="AI488" s="45"/>
      <c r="AJ488" s="45"/>
      <c r="AK488" s="45"/>
      <c r="AL488" s="45"/>
      <c r="AM488" s="43"/>
      <c r="AN488" s="43"/>
      <c r="AO488" s="43"/>
      <c r="AP488" s="43"/>
    </row>
    <row r="489" spans="1:42" x14ac:dyDescent="0.3">
      <c r="B489" s="39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AA489" s="39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</row>
    <row r="490" spans="1:42" x14ac:dyDescent="0.3">
      <c r="A490" s="44"/>
      <c r="B490" s="44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4"/>
      <c r="AA490" s="44"/>
      <c r="AB490" s="45"/>
      <c r="AC490" s="45"/>
      <c r="AD490" s="45"/>
      <c r="AE490" s="45"/>
      <c r="AF490" s="45"/>
      <c r="AG490" s="45"/>
      <c r="AH490" s="45"/>
      <c r="AI490" s="45"/>
      <c r="AJ490" s="45"/>
      <c r="AK490" s="45"/>
      <c r="AL490" s="45"/>
      <c r="AM490" s="43"/>
      <c r="AN490" s="43"/>
      <c r="AO490" s="43"/>
      <c r="AP490" s="43"/>
    </row>
    <row r="491" spans="1:42" x14ac:dyDescent="0.3">
      <c r="B491" s="39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AA491" s="39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</row>
    <row r="492" spans="1:42" x14ac:dyDescent="0.3">
      <c r="A492" s="44"/>
      <c r="B492" s="44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4"/>
      <c r="AA492" s="44"/>
      <c r="AB492" s="45"/>
      <c r="AC492" s="45"/>
      <c r="AD492" s="45"/>
      <c r="AE492" s="45"/>
      <c r="AF492" s="45"/>
      <c r="AG492" s="45"/>
      <c r="AH492" s="45"/>
      <c r="AI492" s="45"/>
      <c r="AJ492" s="45"/>
      <c r="AK492" s="45"/>
      <c r="AL492" s="45"/>
      <c r="AM492" s="43"/>
      <c r="AN492" s="43"/>
      <c r="AO492" s="43"/>
      <c r="AP492" s="43"/>
    </row>
    <row r="493" spans="1:42" x14ac:dyDescent="0.3">
      <c r="B493" s="39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AA493" s="39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</row>
    <row r="494" spans="1:42" x14ac:dyDescent="0.3">
      <c r="A494" s="44"/>
      <c r="B494" s="44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4"/>
      <c r="AA494" s="44"/>
      <c r="AB494" s="45"/>
      <c r="AC494" s="45"/>
      <c r="AD494" s="45"/>
      <c r="AE494" s="45"/>
      <c r="AF494" s="45"/>
      <c r="AG494" s="45"/>
      <c r="AH494" s="45"/>
      <c r="AI494" s="45"/>
      <c r="AJ494" s="45"/>
      <c r="AK494" s="45"/>
      <c r="AL494" s="45"/>
      <c r="AM494" s="43"/>
      <c r="AN494" s="43"/>
      <c r="AO494" s="43"/>
      <c r="AP494" s="43"/>
    </row>
    <row r="495" spans="1:42" x14ac:dyDescent="0.3">
      <c r="B495" s="39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AA495" s="39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</row>
    <row r="496" spans="1:42" x14ac:dyDescent="0.3">
      <c r="A496" s="44"/>
      <c r="B496" s="44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4"/>
      <c r="AA496" s="44"/>
      <c r="AB496" s="45"/>
      <c r="AC496" s="45"/>
      <c r="AD496" s="45"/>
      <c r="AE496" s="45"/>
      <c r="AF496" s="45"/>
      <c r="AG496" s="45"/>
      <c r="AH496" s="45"/>
      <c r="AI496" s="45"/>
      <c r="AJ496" s="45"/>
      <c r="AK496" s="45"/>
      <c r="AL496" s="45"/>
      <c r="AM496" s="43"/>
      <c r="AN496" s="43"/>
      <c r="AO496" s="43"/>
      <c r="AP496" s="43"/>
    </row>
    <row r="497" spans="1:42" x14ac:dyDescent="0.3">
      <c r="B497" s="39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AA497" s="39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</row>
    <row r="498" spans="1:42" x14ac:dyDescent="0.3">
      <c r="A498" s="44"/>
      <c r="B498" s="44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4"/>
      <c r="AA498" s="44"/>
      <c r="AB498" s="45"/>
      <c r="AC498" s="45"/>
      <c r="AD498" s="45"/>
      <c r="AE498" s="45"/>
      <c r="AF498" s="45"/>
      <c r="AG498" s="45"/>
      <c r="AH498" s="45"/>
      <c r="AI498" s="45"/>
      <c r="AJ498" s="45"/>
      <c r="AK498" s="45"/>
      <c r="AL498" s="45"/>
      <c r="AM498" s="43"/>
      <c r="AN498" s="43"/>
      <c r="AO498" s="43"/>
      <c r="AP498" s="43"/>
    </row>
    <row r="499" spans="1:42" x14ac:dyDescent="0.3">
      <c r="B499" s="39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AA499" s="39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</row>
    <row r="500" spans="1:42" x14ac:dyDescent="0.3">
      <c r="A500" s="44"/>
      <c r="B500" s="44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4"/>
      <c r="AA500" s="44"/>
      <c r="AB500" s="45"/>
      <c r="AC500" s="45"/>
      <c r="AD500" s="45"/>
      <c r="AE500" s="45"/>
      <c r="AF500" s="45"/>
      <c r="AG500" s="45"/>
      <c r="AH500" s="45"/>
      <c r="AI500" s="45"/>
      <c r="AJ500" s="45"/>
      <c r="AK500" s="45"/>
      <c r="AL500" s="45"/>
      <c r="AM500" s="43"/>
      <c r="AN500" s="43"/>
      <c r="AO500" s="43"/>
      <c r="AP500" s="43"/>
    </row>
    <row r="501" spans="1:42" x14ac:dyDescent="0.3">
      <c r="B501" s="39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AA501" s="39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</row>
    <row r="502" spans="1:42" x14ac:dyDescent="0.3">
      <c r="A502" s="44"/>
      <c r="B502" s="44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4"/>
      <c r="AA502" s="44"/>
      <c r="AB502" s="45"/>
      <c r="AC502" s="45"/>
      <c r="AD502" s="45"/>
      <c r="AE502" s="45"/>
      <c r="AF502" s="45"/>
      <c r="AG502" s="45"/>
      <c r="AH502" s="45"/>
      <c r="AI502" s="45"/>
      <c r="AJ502" s="45"/>
      <c r="AK502" s="45"/>
      <c r="AL502" s="45"/>
      <c r="AM502" s="43"/>
      <c r="AN502" s="43"/>
      <c r="AO502" s="43"/>
      <c r="AP502" s="43"/>
    </row>
    <row r="503" spans="1:42" x14ac:dyDescent="0.3">
      <c r="B503" s="39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AA503" s="39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</row>
    <row r="504" spans="1:42" x14ac:dyDescent="0.3">
      <c r="A504" s="44"/>
      <c r="B504" s="44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4"/>
      <c r="AA504" s="44"/>
      <c r="AB504" s="45"/>
      <c r="AC504" s="45"/>
      <c r="AD504" s="45"/>
      <c r="AE504" s="45"/>
      <c r="AF504" s="45"/>
      <c r="AG504" s="45"/>
      <c r="AH504" s="45"/>
      <c r="AI504" s="45"/>
      <c r="AJ504" s="45"/>
      <c r="AK504" s="45"/>
      <c r="AL504" s="45"/>
      <c r="AM504" s="43"/>
      <c r="AN504" s="43"/>
      <c r="AO504" s="43"/>
      <c r="AP504" s="43"/>
    </row>
    <row r="505" spans="1:42" x14ac:dyDescent="0.3">
      <c r="B505" s="39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AA505" s="39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</row>
    <row r="506" spans="1:42" x14ac:dyDescent="0.3">
      <c r="A506" s="44"/>
      <c r="B506" s="44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4"/>
      <c r="AA506" s="44"/>
      <c r="AB506" s="45"/>
      <c r="AC506" s="45"/>
      <c r="AD506" s="45"/>
      <c r="AE506" s="45"/>
      <c r="AF506" s="45"/>
      <c r="AG506" s="45"/>
      <c r="AH506" s="45"/>
      <c r="AI506" s="45"/>
      <c r="AJ506" s="45"/>
      <c r="AK506" s="45"/>
      <c r="AL506" s="45"/>
      <c r="AM506" s="43"/>
      <c r="AN506" s="43"/>
      <c r="AO506" s="43"/>
      <c r="AP506" s="43"/>
    </row>
    <row r="507" spans="1:42" x14ac:dyDescent="0.3">
      <c r="B507" s="39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AA507" s="39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</row>
    <row r="508" spans="1:42" x14ac:dyDescent="0.3">
      <c r="A508" s="44"/>
      <c r="B508" s="44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4"/>
      <c r="AA508" s="44"/>
      <c r="AB508" s="45"/>
      <c r="AC508" s="45"/>
      <c r="AD508" s="45"/>
      <c r="AE508" s="45"/>
      <c r="AF508" s="45"/>
      <c r="AG508" s="45"/>
      <c r="AH508" s="45"/>
      <c r="AI508" s="45"/>
      <c r="AJ508" s="45"/>
      <c r="AK508" s="45"/>
      <c r="AL508" s="45"/>
      <c r="AM508" s="43"/>
      <c r="AN508" s="43"/>
      <c r="AO508" s="43"/>
      <c r="AP508" s="43"/>
    </row>
    <row r="509" spans="1:42" x14ac:dyDescent="0.3">
      <c r="B509" s="39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AA509" s="39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</row>
    <row r="510" spans="1:42" x14ac:dyDescent="0.3">
      <c r="A510" s="44"/>
      <c r="B510" s="44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4"/>
      <c r="AA510" s="44"/>
      <c r="AB510" s="45"/>
      <c r="AC510" s="45"/>
      <c r="AD510" s="45"/>
      <c r="AE510" s="45"/>
      <c r="AF510" s="45"/>
      <c r="AG510" s="45"/>
      <c r="AH510" s="45"/>
      <c r="AI510" s="45"/>
      <c r="AJ510" s="45"/>
      <c r="AK510" s="45"/>
      <c r="AL510" s="45"/>
      <c r="AM510" s="43"/>
      <c r="AN510" s="43"/>
      <c r="AO510" s="43"/>
      <c r="AP510" s="43"/>
    </row>
    <row r="511" spans="1:42" x14ac:dyDescent="0.3">
      <c r="B511" s="39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AA511" s="39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</row>
    <row r="512" spans="1:42" x14ac:dyDescent="0.3">
      <c r="A512" s="44"/>
      <c r="B512" s="44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4"/>
      <c r="AA512" s="44"/>
      <c r="AB512" s="45"/>
      <c r="AC512" s="45"/>
      <c r="AD512" s="45"/>
      <c r="AE512" s="45"/>
      <c r="AF512" s="45"/>
      <c r="AG512" s="45"/>
      <c r="AH512" s="45"/>
      <c r="AI512" s="45"/>
      <c r="AJ512" s="45"/>
      <c r="AK512" s="45"/>
      <c r="AL512" s="45"/>
      <c r="AM512" s="43"/>
      <c r="AN512" s="43"/>
      <c r="AO512" s="43"/>
      <c r="AP512" s="43"/>
    </row>
    <row r="513" spans="1:42" x14ac:dyDescent="0.3">
      <c r="B513" s="39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AA513" s="39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</row>
    <row r="514" spans="1:42" x14ac:dyDescent="0.3">
      <c r="A514" s="44"/>
      <c r="B514" s="44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4"/>
      <c r="AA514" s="44"/>
      <c r="AB514" s="45"/>
      <c r="AC514" s="45"/>
      <c r="AD514" s="45"/>
      <c r="AE514" s="45"/>
      <c r="AF514" s="45"/>
      <c r="AG514" s="45"/>
      <c r="AH514" s="45"/>
      <c r="AI514" s="45"/>
      <c r="AJ514" s="45"/>
      <c r="AK514" s="45"/>
      <c r="AL514" s="45"/>
      <c r="AM514" s="43"/>
      <c r="AN514" s="43"/>
      <c r="AO514" s="43"/>
      <c r="AP514" s="43"/>
    </row>
    <row r="515" spans="1:42" x14ac:dyDescent="0.3">
      <c r="B515" s="39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AA515" s="39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</row>
    <row r="516" spans="1:42" x14ac:dyDescent="0.3">
      <c r="A516" s="44"/>
      <c r="B516" s="44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4"/>
      <c r="AA516" s="44"/>
      <c r="AB516" s="45"/>
      <c r="AC516" s="45"/>
      <c r="AD516" s="45"/>
      <c r="AE516" s="45"/>
      <c r="AF516" s="45"/>
      <c r="AG516" s="45"/>
      <c r="AH516" s="45"/>
      <c r="AI516" s="45"/>
      <c r="AJ516" s="45"/>
      <c r="AK516" s="45"/>
      <c r="AL516" s="45"/>
      <c r="AM516" s="43"/>
      <c r="AN516" s="43"/>
      <c r="AO516" s="43"/>
      <c r="AP516" s="43"/>
    </row>
    <row r="517" spans="1:42" x14ac:dyDescent="0.3">
      <c r="B517" s="39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AA517" s="39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</row>
    <row r="518" spans="1:42" x14ac:dyDescent="0.3">
      <c r="A518" s="44"/>
      <c r="B518" s="44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4"/>
      <c r="AA518" s="44"/>
      <c r="AB518" s="45"/>
      <c r="AC518" s="45"/>
      <c r="AD518" s="45"/>
      <c r="AE518" s="45"/>
      <c r="AF518" s="45"/>
      <c r="AG518" s="45"/>
      <c r="AH518" s="45"/>
      <c r="AI518" s="45"/>
      <c r="AJ518" s="45"/>
      <c r="AK518" s="45"/>
      <c r="AL518" s="45"/>
      <c r="AM518" s="43"/>
      <c r="AN518" s="43"/>
      <c r="AO518" s="43"/>
      <c r="AP518" s="43"/>
    </row>
    <row r="519" spans="1:42" x14ac:dyDescent="0.3">
      <c r="B519" s="39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AA519" s="39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</row>
    <row r="520" spans="1:42" x14ac:dyDescent="0.3">
      <c r="A520" s="44"/>
      <c r="B520" s="44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4"/>
      <c r="AA520" s="44"/>
      <c r="AB520" s="45"/>
      <c r="AC520" s="45"/>
      <c r="AD520" s="45"/>
      <c r="AE520" s="45"/>
      <c r="AF520" s="45"/>
      <c r="AG520" s="45"/>
      <c r="AH520" s="45"/>
      <c r="AI520" s="45"/>
      <c r="AJ520" s="45"/>
      <c r="AK520" s="45"/>
      <c r="AL520" s="45"/>
      <c r="AM520" s="43"/>
      <c r="AN520" s="43"/>
      <c r="AO520" s="43"/>
      <c r="AP520" s="43"/>
    </row>
    <row r="521" spans="1:42" x14ac:dyDescent="0.3">
      <c r="B521" s="39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AA521" s="39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</row>
    <row r="522" spans="1:42" x14ac:dyDescent="0.3">
      <c r="A522" s="44"/>
      <c r="B522" s="44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4"/>
      <c r="AA522" s="44"/>
      <c r="AB522" s="45"/>
      <c r="AC522" s="45"/>
      <c r="AD522" s="45"/>
      <c r="AE522" s="45"/>
      <c r="AF522" s="45"/>
      <c r="AG522" s="45"/>
      <c r="AH522" s="45"/>
      <c r="AI522" s="45"/>
      <c r="AJ522" s="45"/>
      <c r="AK522" s="45"/>
      <c r="AL522" s="45"/>
      <c r="AM522" s="43"/>
      <c r="AN522" s="43"/>
      <c r="AO522" s="43"/>
      <c r="AP522" s="43"/>
    </row>
    <row r="523" spans="1:42" x14ac:dyDescent="0.3">
      <c r="B523" s="39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AA523" s="39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</row>
    <row r="524" spans="1:42" x14ac:dyDescent="0.3">
      <c r="A524" s="44"/>
      <c r="B524" s="44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4"/>
      <c r="AA524" s="44"/>
      <c r="AB524" s="45"/>
      <c r="AC524" s="45"/>
      <c r="AD524" s="45"/>
      <c r="AE524" s="45"/>
      <c r="AF524" s="45"/>
      <c r="AG524" s="45"/>
      <c r="AH524" s="45"/>
      <c r="AI524" s="45"/>
      <c r="AJ524" s="45"/>
      <c r="AK524" s="45"/>
      <c r="AL524" s="45"/>
      <c r="AM524" s="43"/>
      <c r="AN524" s="43"/>
      <c r="AO524" s="43"/>
      <c r="AP524" s="43"/>
    </row>
    <row r="525" spans="1:42" x14ac:dyDescent="0.3">
      <c r="B525" s="39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AA525" s="39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</row>
    <row r="526" spans="1:42" x14ac:dyDescent="0.3">
      <c r="A526" s="44"/>
      <c r="B526" s="44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4"/>
      <c r="AA526" s="44"/>
      <c r="AB526" s="45"/>
      <c r="AC526" s="45"/>
      <c r="AD526" s="45"/>
      <c r="AE526" s="45"/>
      <c r="AF526" s="45"/>
      <c r="AG526" s="45"/>
      <c r="AH526" s="45"/>
      <c r="AI526" s="45"/>
      <c r="AJ526" s="45"/>
      <c r="AK526" s="45"/>
      <c r="AL526" s="45"/>
      <c r="AM526" s="43"/>
      <c r="AN526" s="43"/>
      <c r="AO526" s="43"/>
      <c r="AP526" s="43"/>
    </row>
    <row r="527" spans="1:42" x14ac:dyDescent="0.3">
      <c r="B527" s="39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AA527" s="39"/>
      <c r="AB527" s="40"/>
      <c r="AC527" s="40"/>
      <c r="AD527" s="40"/>
      <c r="AE527" s="40"/>
      <c r="AF527" s="40"/>
      <c r="AG527" s="40"/>
      <c r="AH527" s="40"/>
      <c r="AI527" s="40"/>
      <c r="AJ527" s="40"/>
      <c r="AK527" s="40"/>
    </row>
    <row r="528" spans="1:42" x14ac:dyDescent="0.3">
      <c r="A528" s="44"/>
      <c r="B528" s="44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4"/>
      <c r="AA528" s="44"/>
      <c r="AB528" s="45"/>
      <c r="AC528" s="45"/>
      <c r="AD528" s="45"/>
      <c r="AE528" s="45"/>
      <c r="AF528" s="45"/>
      <c r="AG528" s="45"/>
      <c r="AH528" s="45"/>
      <c r="AI528" s="45"/>
      <c r="AJ528" s="45"/>
      <c r="AK528" s="45"/>
      <c r="AL528" s="45"/>
      <c r="AM528" s="43"/>
      <c r="AN528" s="43"/>
      <c r="AO528" s="43"/>
      <c r="AP528" s="43"/>
    </row>
    <row r="529" spans="1:42" x14ac:dyDescent="0.3">
      <c r="B529" s="39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AA529" s="39"/>
      <c r="AB529" s="40"/>
      <c r="AC529" s="40"/>
      <c r="AD529" s="40"/>
      <c r="AE529" s="40"/>
      <c r="AF529" s="40"/>
      <c r="AG529" s="40"/>
      <c r="AH529" s="40"/>
      <c r="AI529" s="40"/>
      <c r="AJ529" s="40"/>
      <c r="AK529" s="40"/>
    </row>
    <row r="530" spans="1:42" x14ac:dyDescent="0.3">
      <c r="A530" s="44"/>
      <c r="B530" s="44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4"/>
      <c r="AA530" s="44"/>
      <c r="AB530" s="45"/>
      <c r="AC530" s="45"/>
      <c r="AD530" s="45"/>
      <c r="AE530" s="45"/>
      <c r="AF530" s="45"/>
      <c r="AG530" s="45"/>
      <c r="AH530" s="45"/>
      <c r="AI530" s="45"/>
      <c r="AJ530" s="45"/>
      <c r="AK530" s="45"/>
      <c r="AL530" s="45"/>
      <c r="AM530" s="43"/>
      <c r="AN530" s="43"/>
      <c r="AO530" s="43"/>
      <c r="AP530" s="43"/>
    </row>
    <row r="531" spans="1:42" x14ac:dyDescent="0.3">
      <c r="B531" s="39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AA531" s="39"/>
      <c r="AB531" s="40"/>
      <c r="AC531" s="40"/>
      <c r="AD531" s="40"/>
      <c r="AE531" s="40"/>
      <c r="AF531" s="40"/>
      <c r="AG531" s="40"/>
      <c r="AH531" s="40"/>
      <c r="AI531" s="40"/>
      <c r="AJ531" s="40"/>
      <c r="AK531" s="40"/>
    </row>
    <row r="532" spans="1:42" x14ac:dyDescent="0.3">
      <c r="A532" s="44"/>
      <c r="B532" s="44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4"/>
      <c r="AA532" s="44"/>
      <c r="AB532" s="45"/>
      <c r="AC532" s="45"/>
      <c r="AD532" s="45"/>
      <c r="AE532" s="45"/>
      <c r="AF532" s="45"/>
      <c r="AG532" s="45"/>
      <c r="AH532" s="45"/>
      <c r="AI532" s="45"/>
      <c r="AJ532" s="45"/>
      <c r="AK532" s="45"/>
      <c r="AL532" s="45"/>
      <c r="AM532" s="43"/>
      <c r="AN532" s="43"/>
      <c r="AO532" s="43"/>
      <c r="AP532" s="43"/>
    </row>
    <row r="533" spans="1:42" x14ac:dyDescent="0.3">
      <c r="B533" s="39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AA533" s="39"/>
      <c r="AB533" s="40"/>
      <c r="AC533" s="40"/>
      <c r="AD533" s="40"/>
      <c r="AE533" s="40"/>
      <c r="AF533" s="40"/>
      <c r="AG533" s="40"/>
      <c r="AH533" s="40"/>
      <c r="AI533" s="40"/>
      <c r="AJ533" s="40"/>
      <c r="AK533" s="40"/>
    </row>
    <row r="534" spans="1:42" x14ac:dyDescent="0.3">
      <c r="A534" s="44"/>
      <c r="B534" s="44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4"/>
      <c r="AA534" s="44"/>
      <c r="AB534" s="45"/>
      <c r="AC534" s="45"/>
      <c r="AD534" s="45"/>
      <c r="AE534" s="45"/>
      <c r="AF534" s="45"/>
      <c r="AG534" s="45"/>
      <c r="AH534" s="45"/>
      <c r="AI534" s="45"/>
      <c r="AJ534" s="45"/>
      <c r="AK534" s="45"/>
      <c r="AL534" s="45"/>
      <c r="AM534" s="43"/>
      <c r="AN534" s="43"/>
      <c r="AO534" s="43"/>
      <c r="AP534" s="43"/>
    </row>
    <row r="535" spans="1:42" x14ac:dyDescent="0.3">
      <c r="B535" s="39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AA535" s="39"/>
      <c r="AB535" s="40"/>
      <c r="AC535" s="40"/>
      <c r="AD535" s="40"/>
      <c r="AE535" s="40"/>
      <c r="AF535" s="40"/>
      <c r="AG535" s="40"/>
      <c r="AH535" s="40"/>
      <c r="AI535" s="40"/>
      <c r="AJ535" s="40"/>
      <c r="AK535" s="40"/>
    </row>
    <row r="536" spans="1:42" x14ac:dyDescent="0.3">
      <c r="A536" s="44"/>
      <c r="B536" s="44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4"/>
      <c r="AA536" s="44"/>
      <c r="AB536" s="45"/>
      <c r="AC536" s="45"/>
      <c r="AD536" s="45"/>
      <c r="AE536" s="45"/>
      <c r="AF536" s="45"/>
      <c r="AG536" s="45"/>
      <c r="AH536" s="45"/>
      <c r="AI536" s="45"/>
      <c r="AJ536" s="45"/>
      <c r="AK536" s="45"/>
      <c r="AL536" s="45"/>
      <c r="AM536" s="43"/>
      <c r="AN536" s="43"/>
      <c r="AO536" s="43"/>
      <c r="AP536" s="43"/>
    </row>
    <row r="537" spans="1:42" x14ac:dyDescent="0.3">
      <c r="B537" s="39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AA537" s="39"/>
      <c r="AB537" s="40"/>
      <c r="AC537" s="40"/>
      <c r="AD537" s="40"/>
      <c r="AE537" s="40"/>
      <c r="AF537" s="40"/>
      <c r="AG537" s="40"/>
      <c r="AH537" s="40"/>
      <c r="AI537" s="40"/>
      <c r="AJ537" s="40"/>
      <c r="AK537" s="40"/>
    </row>
    <row r="538" spans="1:42" x14ac:dyDescent="0.3">
      <c r="A538" s="44"/>
      <c r="B538" s="44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4"/>
      <c r="AA538" s="44"/>
      <c r="AB538" s="45"/>
      <c r="AC538" s="45"/>
      <c r="AD538" s="45"/>
      <c r="AE538" s="45"/>
      <c r="AF538" s="45"/>
      <c r="AG538" s="45"/>
      <c r="AH538" s="45"/>
      <c r="AI538" s="45"/>
      <c r="AJ538" s="45"/>
      <c r="AK538" s="45"/>
      <c r="AL538" s="45"/>
      <c r="AM538" s="43"/>
      <c r="AN538" s="43"/>
      <c r="AO538" s="43"/>
      <c r="AP538" s="43"/>
    </row>
    <row r="539" spans="1:42" x14ac:dyDescent="0.3">
      <c r="B539" s="39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AA539" s="39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</row>
    <row r="540" spans="1:42" x14ac:dyDescent="0.3">
      <c r="A540" s="44"/>
      <c r="B540" s="44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4"/>
      <c r="AA540" s="44"/>
      <c r="AB540" s="45"/>
      <c r="AC540" s="45"/>
      <c r="AD540" s="45"/>
      <c r="AE540" s="45"/>
      <c r="AF540" s="45"/>
      <c r="AG540" s="45"/>
      <c r="AH540" s="45"/>
      <c r="AI540" s="45"/>
      <c r="AJ540" s="45"/>
      <c r="AK540" s="45"/>
      <c r="AL540" s="45"/>
      <c r="AM540" s="43"/>
      <c r="AN540" s="43"/>
      <c r="AO540" s="43"/>
      <c r="AP540" s="43"/>
    </row>
    <row r="541" spans="1:42" x14ac:dyDescent="0.3">
      <c r="B541" s="39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AA541" s="39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</row>
    <row r="542" spans="1:42" x14ac:dyDescent="0.3">
      <c r="A542" s="44"/>
      <c r="B542" s="44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4"/>
      <c r="AA542" s="44"/>
      <c r="AB542" s="45"/>
      <c r="AC542" s="45"/>
      <c r="AD542" s="45"/>
      <c r="AE542" s="45"/>
      <c r="AF542" s="45"/>
      <c r="AG542" s="45"/>
      <c r="AH542" s="45"/>
      <c r="AI542" s="45"/>
      <c r="AJ542" s="45"/>
      <c r="AK542" s="45"/>
      <c r="AL542" s="45"/>
      <c r="AM542" s="43"/>
      <c r="AN542" s="43"/>
      <c r="AO542" s="43"/>
      <c r="AP542" s="43"/>
    </row>
    <row r="543" spans="1:42" x14ac:dyDescent="0.3">
      <c r="B543" s="39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AA543" s="39"/>
      <c r="AB543" s="40"/>
      <c r="AC543" s="40"/>
      <c r="AD543" s="40"/>
      <c r="AE543" s="40"/>
      <c r="AF543" s="40"/>
      <c r="AG543" s="40"/>
      <c r="AH543" s="40"/>
      <c r="AI543" s="40"/>
      <c r="AJ543" s="40"/>
      <c r="AK543" s="40"/>
    </row>
    <row r="544" spans="1:42" x14ac:dyDescent="0.3">
      <c r="A544" s="44"/>
      <c r="B544" s="44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4"/>
      <c r="AA544" s="44"/>
      <c r="AB544" s="45"/>
      <c r="AC544" s="45"/>
      <c r="AD544" s="45"/>
      <c r="AE544" s="45"/>
      <c r="AF544" s="45"/>
      <c r="AG544" s="45"/>
      <c r="AH544" s="45"/>
      <c r="AI544" s="45"/>
      <c r="AJ544" s="45"/>
      <c r="AK544" s="45"/>
      <c r="AL544" s="45"/>
      <c r="AM544" s="43"/>
      <c r="AN544" s="43"/>
      <c r="AO544" s="43"/>
      <c r="AP544" s="43"/>
    </row>
    <row r="545" spans="1:42" x14ac:dyDescent="0.3">
      <c r="B545" s="39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AA545" s="39"/>
      <c r="AB545" s="40"/>
      <c r="AC545" s="40"/>
      <c r="AD545" s="40"/>
      <c r="AE545" s="40"/>
      <c r="AF545" s="40"/>
      <c r="AG545" s="40"/>
      <c r="AH545" s="40"/>
      <c r="AI545" s="40"/>
      <c r="AJ545" s="40"/>
      <c r="AK545" s="40"/>
    </row>
    <row r="546" spans="1:42" x14ac:dyDescent="0.3">
      <c r="A546" s="44"/>
      <c r="B546" s="44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4"/>
      <c r="AA546" s="44"/>
      <c r="AB546" s="45"/>
      <c r="AC546" s="45"/>
      <c r="AD546" s="45"/>
      <c r="AE546" s="45"/>
      <c r="AF546" s="45"/>
      <c r="AG546" s="45"/>
      <c r="AH546" s="45"/>
      <c r="AI546" s="45"/>
      <c r="AJ546" s="45"/>
      <c r="AK546" s="45"/>
      <c r="AL546" s="45"/>
      <c r="AM546" s="43"/>
      <c r="AN546" s="43"/>
      <c r="AO546" s="43"/>
      <c r="AP546" s="43"/>
    </row>
    <row r="547" spans="1:42" x14ac:dyDescent="0.3">
      <c r="B547" s="39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AA547" s="39"/>
      <c r="AB547" s="40"/>
      <c r="AC547" s="40"/>
      <c r="AD547" s="40"/>
      <c r="AE547" s="40"/>
      <c r="AF547" s="40"/>
      <c r="AG547" s="40"/>
      <c r="AH547" s="40"/>
      <c r="AI547" s="40"/>
      <c r="AJ547" s="40"/>
      <c r="AK547" s="40"/>
    </row>
    <row r="548" spans="1:42" x14ac:dyDescent="0.3">
      <c r="A548" s="44"/>
      <c r="B548" s="44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4"/>
      <c r="AA548" s="44"/>
      <c r="AB548" s="45"/>
      <c r="AC548" s="45"/>
      <c r="AD548" s="45"/>
      <c r="AE548" s="45"/>
      <c r="AF548" s="45"/>
      <c r="AG548" s="45"/>
      <c r="AH548" s="45"/>
      <c r="AI548" s="45"/>
      <c r="AJ548" s="45"/>
      <c r="AK548" s="45"/>
      <c r="AL548" s="45"/>
      <c r="AM548" s="43"/>
      <c r="AN548" s="43"/>
      <c r="AO548" s="43"/>
      <c r="AP548" s="43"/>
    </row>
    <row r="549" spans="1:42" x14ac:dyDescent="0.3">
      <c r="B549" s="39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AA549" s="39"/>
      <c r="AB549" s="40"/>
      <c r="AC549" s="40"/>
      <c r="AD549" s="40"/>
      <c r="AE549" s="40"/>
      <c r="AF549" s="40"/>
      <c r="AG549" s="40"/>
      <c r="AH549" s="40"/>
      <c r="AI549" s="40"/>
      <c r="AJ549" s="40"/>
      <c r="AK549" s="40"/>
    </row>
    <row r="550" spans="1:42" x14ac:dyDescent="0.3">
      <c r="A550" s="44"/>
      <c r="B550" s="44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4"/>
      <c r="AA550" s="44"/>
      <c r="AB550" s="45"/>
      <c r="AC550" s="45"/>
      <c r="AD550" s="45"/>
      <c r="AE550" s="45"/>
      <c r="AF550" s="45"/>
      <c r="AG550" s="45"/>
      <c r="AH550" s="45"/>
      <c r="AI550" s="45"/>
      <c r="AJ550" s="45"/>
      <c r="AK550" s="45"/>
      <c r="AL550" s="45"/>
      <c r="AM550" s="43"/>
      <c r="AN550" s="43"/>
      <c r="AO550" s="43"/>
      <c r="AP550" s="43"/>
    </row>
    <row r="551" spans="1:42" x14ac:dyDescent="0.3">
      <c r="B551" s="39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AA551" s="39"/>
      <c r="AB551" s="40"/>
      <c r="AC551" s="40"/>
      <c r="AD551" s="40"/>
      <c r="AE551" s="40"/>
      <c r="AF551" s="40"/>
      <c r="AG551" s="40"/>
      <c r="AH551" s="40"/>
      <c r="AI551" s="40"/>
      <c r="AJ551" s="40"/>
      <c r="AK551" s="40"/>
    </row>
    <row r="552" spans="1:42" x14ac:dyDescent="0.3">
      <c r="A552" s="44"/>
      <c r="B552" s="44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4"/>
      <c r="AA552" s="44"/>
      <c r="AB552" s="45"/>
      <c r="AC552" s="45"/>
      <c r="AD552" s="45"/>
      <c r="AE552" s="45"/>
      <c r="AF552" s="45"/>
      <c r="AG552" s="45"/>
      <c r="AH552" s="45"/>
      <c r="AI552" s="45"/>
      <c r="AJ552" s="45"/>
      <c r="AK552" s="45"/>
      <c r="AL552" s="45"/>
      <c r="AM552" s="43"/>
      <c r="AN552" s="43"/>
      <c r="AO552" s="43"/>
      <c r="AP552" s="43"/>
    </row>
    <row r="553" spans="1:42" x14ac:dyDescent="0.3">
      <c r="B553" s="39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AA553" s="39"/>
      <c r="AB553" s="40"/>
      <c r="AC553" s="40"/>
      <c r="AD553" s="40"/>
      <c r="AE553" s="40"/>
      <c r="AF553" s="40"/>
      <c r="AG553" s="40"/>
      <c r="AH553" s="40"/>
      <c r="AI553" s="40"/>
      <c r="AJ553" s="40"/>
      <c r="AK553" s="40"/>
    </row>
    <row r="554" spans="1:42" x14ac:dyDescent="0.3">
      <c r="A554" s="44"/>
      <c r="B554" s="44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4"/>
      <c r="AA554" s="44"/>
      <c r="AB554" s="45"/>
      <c r="AC554" s="45"/>
      <c r="AD554" s="45"/>
      <c r="AE554" s="45"/>
      <c r="AF554" s="45"/>
      <c r="AG554" s="45"/>
      <c r="AH554" s="45"/>
      <c r="AI554" s="45"/>
      <c r="AJ554" s="45"/>
      <c r="AK554" s="45"/>
      <c r="AL554" s="45"/>
      <c r="AM554" s="43"/>
      <c r="AN554" s="43"/>
      <c r="AO554" s="43"/>
      <c r="AP554" s="43"/>
    </row>
    <row r="555" spans="1:42" x14ac:dyDescent="0.3">
      <c r="B555" s="39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AA555" s="39"/>
      <c r="AB555" s="40"/>
      <c r="AC555" s="40"/>
      <c r="AD555" s="40"/>
      <c r="AE555" s="40"/>
      <c r="AF555" s="40"/>
      <c r="AG555" s="40"/>
      <c r="AH555" s="40"/>
      <c r="AI555" s="40"/>
      <c r="AJ555" s="40"/>
      <c r="AK555" s="40"/>
    </row>
    <row r="556" spans="1:42" x14ac:dyDescent="0.3">
      <c r="A556" s="44"/>
      <c r="B556" s="44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4"/>
      <c r="AA556" s="44"/>
      <c r="AB556" s="45"/>
      <c r="AC556" s="45"/>
      <c r="AD556" s="45"/>
      <c r="AE556" s="45"/>
      <c r="AF556" s="45"/>
      <c r="AG556" s="45"/>
      <c r="AH556" s="45"/>
      <c r="AI556" s="45"/>
      <c r="AJ556" s="45"/>
      <c r="AK556" s="45"/>
      <c r="AL556" s="45"/>
      <c r="AM556" s="43"/>
      <c r="AN556" s="43"/>
      <c r="AO556" s="43"/>
      <c r="AP556" s="43"/>
    </row>
    <row r="557" spans="1:42" x14ac:dyDescent="0.3">
      <c r="B557" s="39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AA557" s="39"/>
      <c r="AB557" s="40"/>
      <c r="AC557" s="40"/>
      <c r="AD557" s="40"/>
      <c r="AE557" s="40"/>
      <c r="AF557" s="40"/>
      <c r="AG557" s="40"/>
      <c r="AH557" s="40"/>
      <c r="AI557" s="40"/>
      <c r="AJ557" s="40"/>
      <c r="AK557" s="40"/>
    </row>
    <row r="558" spans="1:42" x14ac:dyDescent="0.3">
      <c r="A558" s="44"/>
      <c r="B558" s="44"/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4"/>
      <c r="AA558" s="44"/>
      <c r="AB558" s="45"/>
      <c r="AC558" s="45"/>
      <c r="AD558" s="45"/>
      <c r="AE558" s="45"/>
      <c r="AF558" s="45"/>
      <c r="AG558" s="45"/>
      <c r="AH558" s="45"/>
      <c r="AI558" s="45"/>
      <c r="AJ558" s="45"/>
      <c r="AK558" s="45"/>
      <c r="AL558" s="45"/>
      <c r="AM558" s="43"/>
      <c r="AN558" s="43"/>
      <c r="AO558" s="43"/>
      <c r="AP558" s="43"/>
    </row>
    <row r="559" spans="1:42" x14ac:dyDescent="0.3">
      <c r="B559" s="39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AA559" s="39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</row>
    <row r="560" spans="1:42" x14ac:dyDescent="0.3">
      <c r="A560" s="44"/>
      <c r="B560" s="44"/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4"/>
      <c r="AA560" s="44"/>
      <c r="AB560" s="45"/>
      <c r="AC560" s="45"/>
      <c r="AD560" s="45"/>
      <c r="AE560" s="45"/>
      <c r="AF560" s="45"/>
      <c r="AG560" s="45"/>
      <c r="AH560" s="45"/>
      <c r="AI560" s="45"/>
      <c r="AJ560" s="45"/>
      <c r="AK560" s="45"/>
      <c r="AL560" s="45"/>
      <c r="AM560" s="43"/>
      <c r="AN560" s="43"/>
      <c r="AO560" s="43"/>
      <c r="AP560" s="43"/>
    </row>
    <row r="561" spans="1:42" x14ac:dyDescent="0.3">
      <c r="B561" s="39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AA561" s="39"/>
      <c r="AB561" s="40"/>
      <c r="AC561" s="40"/>
      <c r="AD561" s="40"/>
      <c r="AE561" s="40"/>
      <c r="AF561" s="40"/>
      <c r="AG561" s="40"/>
      <c r="AH561" s="40"/>
      <c r="AI561" s="40"/>
      <c r="AJ561" s="40"/>
      <c r="AK561" s="40"/>
    </row>
    <row r="562" spans="1:42" x14ac:dyDescent="0.3">
      <c r="A562" s="44"/>
      <c r="B562" s="44"/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4"/>
      <c r="AA562" s="44"/>
      <c r="AB562" s="45"/>
      <c r="AC562" s="45"/>
      <c r="AD562" s="45"/>
      <c r="AE562" s="45"/>
      <c r="AF562" s="45"/>
      <c r="AG562" s="45"/>
      <c r="AH562" s="45"/>
      <c r="AI562" s="45"/>
      <c r="AJ562" s="45"/>
      <c r="AK562" s="45"/>
      <c r="AL562" s="45"/>
      <c r="AM562" s="43"/>
      <c r="AN562" s="43"/>
      <c r="AO562" s="43"/>
      <c r="AP562" s="43"/>
    </row>
    <row r="563" spans="1:42" x14ac:dyDescent="0.3">
      <c r="B563" s="39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AA563" s="39"/>
      <c r="AB563" s="40"/>
      <c r="AC563" s="40"/>
      <c r="AD563" s="40"/>
      <c r="AE563" s="40"/>
      <c r="AF563" s="40"/>
      <c r="AG563" s="40"/>
      <c r="AH563" s="40"/>
      <c r="AI563" s="40"/>
      <c r="AJ563" s="40"/>
      <c r="AK563" s="40"/>
    </row>
    <row r="564" spans="1:42" x14ac:dyDescent="0.3">
      <c r="A564" s="44"/>
      <c r="B564" s="44"/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4"/>
      <c r="AA564" s="44"/>
      <c r="AB564" s="45"/>
      <c r="AC564" s="45"/>
      <c r="AD564" s="45"/>
      <c r="AE564" s="45"/>
      <c r="AF564" s="45"/>
      <c r="AG564" s="45"/>
      <c r="AH564" s="45"/>
      <c r="AI564" s="45"/>
      <c r="AJ564" s="45"/>
      <c r="AK564" s="45"/>
      <c r="AL564" s="45"/>
      <c r="AM564" s="43"/>
      <c r="AN564" s="43"/>
      <c r="AO564" s="43"/>
      <c r="AP564" s="43"/>
    </row>
    <row r="565" spans="1:42" x14ac:dyDescent="0.3">
      <c r="B565" s="39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AA565" s="39"/>
      <c r="AB565" s="40"/>
      <c r="AC565" s="40"/>
      <c r="AD565" s="40"/>
      <c r="AE565" s="40"/>
      <c r="AF565" s="40"/>
      <c r="AG565" s="40"/>
      <c r="AH565" s="40"/>
      <c r="AI565" s="40"/>
      <c r="AJ565" s="40"/>
      <c r="AK565" s="40"/>
    </row>
    <row r="566" spans="1:42" x14ac:dyDescent="0.3">
      <c r="A566" s="44"/>
      <c r="B566" s="44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4"/>
      <c r="AA566" s="44"/>
      <c r="AB566" s="45"/>
      <c r="AC566" s="45"/>
      <c r="AD566" s="45"/>
      <c r="AE566" s="45"/>
      <c r="AF566" s="45"/>
      <c r="AG566" s="45"/>
      <c r="AH566" s="45"/>
      <c r="AI566" s="45"/>
      <c r="AJ566" s="45"/>
      <c r="AK566" s="45"/>
      <c r="AL566" s="45"/>
      <c r="AM566" s="43"/>
      <c r="AN566" s="43"/>
      <c r="AO566" s="43"/>
      <c r="AP566" s="43"/>
    </row>
    <row r="567" spans="1:42" x14ac:dyDescent="0.3">
      <c r="B567" s="39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AA567" s="39"/>
      <c r="AB567" s="40"/>
      <c r="AC567" s="40"/>
      <c r="AD567" s="40"/>
      <c r="AE567" s="40"/>
      <c r="AF567" s="40"/>
      <c r="AG567" s="40"/>
      <c r="AH567" s="40"/>
      <c r="AI567" s="40"/>
      <c r="AJ567" s="40"/>
      <c r="AK567" s="40"/>
    </row>
    <row r="568" spans="1:42" x14ac:dyDescent="0.3">
      <c r="A568" s="44"/>
      <c r="B568" s="44"/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4"/>
      <c r="AA568" s="44"/>
      <c r="AB568" s="45"/>
      <c r="AC568" s="45"/>
      <c r="AD568" s="45"/>
      <c r="AE568" s="45"/>
      <c r="AF568" s="45"/>
      <c r="AG568" s="45"/>
      <c r="AH568" s="45"/>
      <c r="AI568" s="45"/>
      <c r="AJ568" s="45"/>
      <c r="AK568" s="45"/>
      <c r="AL568" s="45"/>
      <c r="AM568" s="43"/>
      <c r="AN568" s="43"/>
      <c r="AO568" s="43"/>
      <c r="AP568" s="43"/>
    </row>
    <row r="569" spans="1:42" x14ac:dyDescent="0.3">
      <c r="B569" s="39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AA569" s="39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</row>
    <row r="570" spans="1:42" x14ac:dyDescent="0.3">
      <c r="A570" s="44"/>
      <c r="B570" s="44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4"/>
      <c r="AA570" s="44"/>
      <c r="AB570" s="45"/>
      <c r="AC570" s="45"/>
      <c r="AD570" s="45"/>
      <c r="AE570" s="45"/>
      <c r="AF570" s="45"/>
      <c r="AG570" s="45"/>
      <c r="AH570" s="45"/>
      <c r="AI570" s="45"/>
      <c r="AJ570" s="45"/>
      <c r="AK570" s="45"/>
      <c r="AL570" s="45"/>
      <c r="AM570" s="43"/>
      <c r="AN570" s="43"/>
      <c r="AO570" s="43"/>
      <c r="AP570" s="43"/>
    </row>
    <row r="571" spans="1:42" x14ac:dyDescent="0.3">
      <c r="B571" s="39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AA571" s="39"/>
      <c r="AB571" s="40"/>
      <c r="AC571" s="40"/>
      <c r="AD571" s="40"/>
      <c r="AE571" s="40"/>
      <c r="AF571" s="40"/>
      <c r="AG571" s="40"/>
      <c r="AH571" s="40"/>
      <c r="AI571" s="40"/>
      <c r="AJ571" s="40"/>
      <c r="AK571" s="40"/>
    </row>
    <row r="572" spans="1:42" x14ac:dyDescent="0.3">
      <c r="A572" s="44"/>
      <c r="B572" s="44"/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4"/>
      <c r="AA572" s="44"/>
      <c r="AB572" s="45"/>
      <c r="AC572" s="45"/>
      <c r="AD572" s="45"/>
      <c r="AE572" s="45"/>
      <c r="AF572" s="45"/>
      <c r="AG572" s="45"/>
      <c r="AH572" s="45"/>
      <c r="AI572" s="45"/>
      <c r="AJ572" s="45"/>
      <c r="AK572" s="45"/>
      <c r="AL572" s="45"/>
      <c r="AM572" s="43"/>
      <c r="AN572" s="43"/>
      <c r="AO572" s="43"/>
      <c r="AP572" s="43"/>
    </row>
    <row r="573" spans="1:42" x14ac:dyDescent="0.3">
      <c r="B573" s="39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AA573" s="39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</row>
    <row r="574" spans="1:42" x14ac:dyDescent="0.3">
      <c r="A574" s="44"/>
      <c r="B574" s="44"/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4"/>
      <c r="AA574" s="44"/>
      <c r="AB574" s="45"/>
      <c r="AC574" s="45"/>
      <c r="AD574" s="45"/>
      <c r="AE574" s="45"/>
      <c r="AF574" s="45"/>
      <c r="AG574" s="45"/>
      <c r="AH574" s="45"/>
      <c r="AI574" s="45"/>
      <c r="AJ574" s="45"/>
      <c r="AK574" s="45"/>
      <c r="AL574" s="45"/>
      <c r="AM574" s="43"/>
      <c r="AN574" s="43"/>
      <c r="AO574" s="43"/>
      <c r="AP574" s="43"/>
    </row>
    <row r="575" spans="1:42" x14ac:dyDescent="0.3">
      <c r="B575" s="39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AA575" s="39"/>
      <c r="AB575" s="40"/>
      <c r="AC575" s="40"/>
      <c r="AD575" s="40"/>
      <c r="AE575" s="40"/>
      <c r="AF575" s="40"/>
      <c r="AG575" s="40"/>
      <c r="AH575" s="40"/>
      <c r="AI575" s="40"/>
      <c r="AJ575" s="40"/>
      <c r="AK575" s="40"/>
    </row>
    <row r="576" spans="1:42" x14ac:dyDescent="0.3">
      <c r="A576" s="44"/>
      <c r="B576" s="44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4"/>
      <c r="AA576" s="44"/>
      <c r="AB576" s="45"/>
      <c r="AC576" s="45"/>
      <c r="AD576" s="45"/>
      <c r="AE576" s="45"/>
      <c r="AF576" s="45"/>
      <c r="AG576" s="45"/>
      <c r="AH576" s="45"/>
      <c r="AI576" s="45"/>
      <c r="AJ576" s="45"/>
      <c r="AK576" s="45"/>
      <c r="AL576" s="45"/>
      <c r="AM576" s="43"/>
      <c r="AN576" s="43"/>
      <c r="AO576" s="43"/>
      <c r="AP576" s="43"/>
    </row>
    <row r="577" spans="1:42" x14ac:dyDescent="0.3">
      <c r="B577" s="39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AA577" s="39"/>
      <c r="AB577" s="40"/>
      <c r="AC577" s="40"/>
      <c r="AD577" s="40"/>
      <c r="AE577" s="40"/>
      <c r="AF577" s="40"/>
      <c r="AG577" s="40"/>
      <c r="AH577" s="40"/>
      <c r="AI577" s="40"/>
      <c r="AJ577" s="40"/>
      <c r="AK577" s="40"/>
    </row>
    <row r="578" spans="1:42" x14ac:dyDescent="0.3">
      <c r="A578" s="44"/>
      <c r="B578" s="44"/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4"/>
      <c r="AA578" s="44"/>
      <c r="AB578" s="45"/>
      <c r="AC578" s="45"/>
      <c r="AD578" s="45"/>
      <c r="AE578" s="45"/>
      <c r="AF578" s="45"/>
      <c r="AG578" s="45"/>
      <c r="AH578" s="45"/>
      <c r="AI578" s="45"/>
      <c r="AJ578" s="45"/>
      <c r="AK578" s="45"/>
      <c r="AL578" s="45"/>
      <c r="AM578" s="43"/>
      <c r="AN578" s="43"/>
      <c r="AO578" s="43"/>
      <c r="AP578" s="43"/>
    </row>
    <row r="579" spans="1:42" x14ac:dyDescent="0.3">
      <c r="B579" s="39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AA579" s="39"/>
      <c r="AB579" s="40"/>
      <c r="AC579" s="40"/>
      <c r="AD579" s="40"/>
      <c r="AE579" s="40"/>
      <c r="AF579" s="40"/>
      <c r="AG579" s="40"/>
      <c r="AH579" s="40"/>
      <c r="AI579" s="40"/>
      <c r="AJ579" s="40"/>
      <c r="AK579" s="40"/>
    </row>
    <row r="580" spans="1:42" x14ac:dyDescent="0.3">
      <c r="A580" s="44"/>
      <c r="B580" s="44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4"/>
      <c r="AA580" s="44"/>
      <c r="AB580" s="45"/>
      <c r="AC580" s="45"/>
      <c r="AD580" s="45"/>
      <c r="AE580" s="45"/>
      <c r="AF580" s="45"/>
      <c r="AG580" s="45"/>
      <c r="AH580" s="45"/>
      <c r="AI580" s="45"/>
      <c r="AJ580" s="45"/>
      <c r="AK580" s="45"/>
      <c r="AL580" s="45"/>
      <c r="AM580" s="43"/>
      <c r="AN580" s="43"/>
      <c r="AO580" s="43"/>
      <c r="AP580" s="43"/>
    </row>
    <row r="581" spans="1:42" x14ac:dyDescent="0.3">
      <c r="B581" s="39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AA581" s="39"/>
      <c r="AB581" s="40"/>
      <c r="AC581" s="40"/>
      <c r="AD581" s="40"/>
      <c r="AE581" s="40"/>
      <c r="AF581" s="40"/>
      <c r="AG581" s="40"/>
      <c r="AH581" s="40"/>
      <c r="AI581" s="40"/>
      <c r="AJ581" s="40"/>
      <c r="AK581" s="40"/>
    </row>
    <row r="582" spans="1:42" x14ac:dyDescent="0.3">
      <c r="A582" s="44"/>
      <c r="B582" s="44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4"/>
      <c r="AA582" s="44"/>
      <c r="AB582" s="45"/>
      <c r="AC582" s="45"/>
      <c r="AD582" s="45"/>
      <c r="AE582" s="45"/>
      <c r="AF582" s="45"/>
      <c r="AG582" s="45"/>
      <c r="AH582" s="45"/>
      <c r="AI582" s="45"/>
      <c r="AJ582" s="45"/>
      <c r="AK582" s="45"/>
      <c r="AL582" s="45"/>
      <c r="AM582" s="43"/>
      <c r="AN582" s="43"/>
      <c r="AO582" s="43"/>
      <c r="AP582" s="43"/>
    </row>
    <row r="583" spans="1:42" x14ac:dyDescent="0.3">
      <c r="B583" s="39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AA583" s="39"/>
      <c r="AB583" s="40"/>
      <c r="AC583" s="40"/>
      <c r="AD583" s="40"/>
      <c r="AE583" s="40"/>
      <c r="AF583" s="40"/>
      <c r="AG583" s="40"/>
      <c r="AH583" s="40"/>
      <c r="AI583" s="40"/>
      <c r="AJ583" s="40"/>
      <c r="AK583" s="40"/>
    </row>
    <row r="584" spans="1:42" x14ac:dyDescent="0.3">
      <c r="A584" s="44"/>
      <c r="B584" s="44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4"/>
      <c r="AA584" s="44"/>
      <c r="AB584" s="45"/>
      <c r="AC584" s="45"/>
      <c r="AD584" s="45"/>
      <c r="AE584" s="45"/>
      <c r="AF584" s="45"/>
      <c r="AG584" s="45"/>
      <c r="AH584" s="45"/>
      <c r="AI584" s="45"/>
      <c r="AJ584" s="45"/>
      <c r="AK584" s="45"/>
      <c r="AL584" s="45"/>
      <c r="AM584" s="43"/>
      <c r="AN584" s="43"/>
      <c r="AO584" s="43"/>
      <c r="AP584" s="43"/>
    </row>
    <row r="585" spans="1:42" x14ac:dyDescent="0.3">
      <c r="B585" s="39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AA585" s="39"/>
      <c r="AB585" s="40"/>
      <c r="AC585" s="40"/>
      <c r="AD585" s="40"/>
      <c r="AE585" s="40"/>
      <c r="AF585" s="40"/>
      <c r="AG585" s="40"/>
      <c r="AH585" s="40"/>
      <c r="AI585" s="40"/>
      <c r="AJ585" s="40"/>
      <c r="AK585" s="40"/>
    </row>
    <row r="586" spans="1:42" x14ac:dyDescent="0.3">
      <c r="A586" s="44"/>
      <c r="B586" s="44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4"/>
      <c r="AA586" s="44"/>
      <c r="AB586" s="45"/>
      <c r="AC586" s="45"/>
      <c r="AD586" s="45"/>
      <c r="AE586" s="45"/>
      <c r="AF586" s="45"/>
      <c r="AG586" s="45"/>
      <c r="AH586" s="45"/>
      <c r="AI586" s="45"/>
      <c r="AJ586" s="45"/>
      <c r="AK586" s="45"/>
      <c r="AL586" s="45"/>
      <c r="AM586" s="43"/>
      <c r="AN586" s="43"/>
      <c r="AO586" s="43"/>
      <c r="AP586" s="43"/>
    </row>
    <row r="587" spans="1:42" x14ac:dyDescent="0.3">
      <c r="B587" s="39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AA587" s="39"/>
      <c r="AB587" s="40"/>
      <c r="AC587" s="40"/>
      <c r="AD587" s="40"/>
      <c r="AE587" s="40"/>
      <c r="AF587" s="40"/>
      <c r="AG587" s="40"/>
      <c r="AH587" s="40"/>
      <c r="AI587" s="40"/>
      <c r="AJ587" s="40"/>
      <c r="AK587" s="40"/>
    </row>
    <row r="588" spans="1:42" x14ac:dyDescent="0.3">
      <c r="A588" s="44"/>
      <c r="B588" s="44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4"/>
      <c r="AA588" s="44"/>
      <c r="AB588" s="45"/>
      <c r="AC588" s="45"/>
      <c r="AD588" s="45"/>
      <c r="AE588" s="45"/>
      <c r="AF588" s="45"/>
      <c r="AG588" s="45"/>
      <c r="AH588" s="45"/>
      <c r="AI588" s="45"/>
      <c r="AJ588" s="45"/>
      <c r="AK588" s="45"/>
      <c r="AL588" s="45"/>
      <c r="AM588" s="43"/>
      <c r="AN588" s="43"/>
      <c r="AO588" s="43"/>
      <c r="AP588" s="43"/>
    </row>
    <row r="589" spans="1:42" x14ac:dyDescent="0.3">
      <c r="B589" s="39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AA589" s="39"/>
      <c r="AB589" s="40"/>
      <c r="AC589" s="40"/>
      <c r="AD589" s="40"/>
      <c r="AE589" s="40"/>
      <c r="AF589" s="40"/>
      <c r="AG589" s="40"/>
      <c r="AH589" s="40"/>
      <c r="AI589" s="40"/>
      <c r="AJ589" s="40"/>
      <c r="AK589" s="40"/>
    </row>
    <row r="590" spans="1:42" x14ac:dyDescent="0.3">
      <c r="A590" s="44"/>
      <c r="B590" s="44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4"/>
      <c r="AA590" s="44"/>
      <c r="AB590" s="45"/>
      <c r="AC590" s="45"/>
      <c r="AD590" s="45"/>
      <c r="AE590" s="45"/>
      <c r="AF590" s="45"/>
      <c r="AG590" s="45"/>
      <c r="AH590" s="45"/>
      <c r="AI590" s="45"/>
      <c r="AJ590" s="45"/>
      <c r="AK590" s="45"/>
      <c r="AL590" s="45"/>
      <c r="AM590" s="43"/>
      <c r="AN590" s="43"/>
      <c r="AO590" s="43"/>
      <c r="AP590" s="43"/>
    </row>
    <row r="591" spans="1:42" x14ac:dyDescent="0.3">
      <c r="B591" s="39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AA591" s="39"/>
      <c r="AB591" s="40"/>
      <c r="AC591" s="40"/>
      <c r="AD591" s="40"/>
      <c r="AE591" s="40"/>
      <c r="AF591" s="40"/>
      <c r="AG591" s="40"/>
      <c r="AH591" s="40"/>
      <c r="AI591" s="40"/>
      <c r="AJ591" s="40"/>
      <c r="AK591" s="40"/>
    </row>
    <row r="592" spans="1:42" x14ac:dyDescent="0.3">
      <c r="A592" s="44"/>
      <c r="B592" s="44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4"/>
      <c r="AA592" s="44"/>
      <c r="AB592" s="45"/>
      <c r="AC592" s="45"/>
      <c r="AD592" s="45"/>
      <c r="AE592" s="45"/>
      <c r="AF592" s="45"/>
      <c r="AG592" s="45"/>
      <c r="AH592" s="45"/>
      <c r="AI592" s="45"/>
      <c r="AJ592" s="45"/>
      <c r="AK592" s="45"/>
      <c r="AL592" s="45"/>
      <c r="AM592" s="43"/>
      <c r="AN592" s="43"/>
      <c r="AO592" s="43"/>
      <c r="AP592" s="43"/>
    </row>
    <row r="593" spans="1:42" x14ac:dyDescent="0.3">
      <c r="B593" s="39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AA593" s="39"/>
      <c r="AB593" s="40"/>
      <c r="AC593" s="40"/>
      <c r="AD593" s="40"/>
      <c r="AE593" s="40"/>
      <c r="AF593" s="40"/>
      <c r="AG593" s="40"/>
      <c r="AH593" s="40"/>
      <c r="AI593" s="40"/>
      <c r="AJ593" s="40"/>
      <c r="AK593" s="40"/>
    </row>
    <row r="594" spans="1:42" x14ac:dyDescent="0.3">
      <c r="A594" s="44"/>
      <c r="B594" s="44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4"/>
      <c r="AA594" s="44"/>
      <c r="AB594" s="45"/>
      <c r="AC594" s="45"/>
      <c r="AD594" s="45"/>
      <c r="AE594" s="45"/>
      <c r="AF594" s="45"/>
      <c r="AG594" s="45"/>
      <c r="AH594" s="45"/>
      <c r="AI594" s="45"/>
      <c r="AJ594" s="45"/>
      <c r="AK594" s="45"/>
      <c r="AL594" s="45"/>
      <c r="AM594" s="43"/>
      <c r="AN594" s="43"/>
      <c r="AO594" s="43"/>
      <c r="AP594" s="43"/>
    </row>
    <row r="595" spans="1:42" x14ac:dyDescent="0.3">
      <c r="B595" s="39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AA595" s="39"/>
      <c r="AB595" s="40"/>
      <c r="AC595" s="40"/>
      <c r="AD595" s="40"/>
      <c r="AE595" s="40"/>
      <c r="AF595" s="40"/>
      <c r="AG595" s="40"/>
      <c r="AH595" s="40"/>
      <c r="AI595" s="40"/>
      <c r="AJ595" s="40"/>
      <c r="AK595" s="40"/>
    </row>
    <row r="596" spans="1:42" x14ac:dyDescent="0.3">
      <c r="A596" s="44"/>
      <c r="B596" s="44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4"/>
      <c r="AA596" s="44"/>
      <c r="AB596" s="45"/>
      <c r="AC596" s="45"/>
      <c r="AD596" s="45"/>
      <c r="AE596" s="45"/>
      <c r="AF596" s="45"/>
      <c r="AG596" s="45"/>
      <c r="AH596" s="45"/>
      <c r="AI596" s="45"/>
      <c r="AJ596" s="45"/>
      <c r="AK596" s="45"/>
      <c r="AL596" s="45"/>
      <c r="AM596" s="43"/>
      <c r="AN596" s="43"/>
      <c r="AO596" s="43"/>
      <c r="AP596" s="43"/>
    </row>
    <row r="597" spans="1:42" x14ac:dyDescent="0.3">
      <c r="B597" s="39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AA597" s="39"/>
      <c r="AB597" s="40"/>
      <c r="AC597" s="40"/>
      <c r="AD597" s="40"/>
      <c r="AE597" s="40"/>
      <c r="AF597" s="40"/>
      <c r="AG597" s="40"/>
      <c r="AH597" s="40"/>
      <c r="AI597" s="40"/>
      <c r="AJ597" s="40"/>
      <c r="AK597" s="40"/>
    </row>
    <row r="598" spans="1:42" x14ac:dyDescent="0.3">
      <c r="A598" s="44"/>
      <c r="B598" s="44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4"/>
      <c r="AA598" s="44"/>
      <c r="AB598" s="45"/>
      <c r="AC598" s="45"/>
      <c r="AD598" s="45"/>
      <c r="AE598" s="45"/>
      <c r="AF598" s="45"/>
      <c r="AG598" s="45"/>
      <c r="AH598" s="45"/>
      <c r="AI598" s="45"/>
      <c r="AJ598" s="45"/>
      <c r="AK598" s="45"/>
      <c r="AL598" s="45"/>
      <c r="AM598" s="43"/>
      <c r="AN598" s="43"/>
      <c r="AO598" s="43"/>
      <c r="AP598" s="43"/>
    </row>
    <row r="599" spans="1:42" x14ac:dyDescent="0.3">
      <c r="B599" s="39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AA599" s="39"/>
      <c r="AB599" s="40"/>
      <c r="AC599" s="40"/>
      <c r="AD599" s="40"/>
      <c r="AE599" s="40"/>
      <c r="AF599" s="40"/>
      <c r="AG599" s="40"/>
      <c r="AH599" s="40"/>
      <c r="AI599" s="40"/>
      <c r="AJ599" s="40"/>
      <c r="AK599" s="40"/>
    </row>
    <row r="600" spans="1:42" x14ac:dyDescent="0.3">
      <c r="A600" s="44"/>
      <c r="B600" s="44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4"/>
      <c r="AA600" s="44"/>
      <c r="AB600" s="45"/>
      <c r="AC600" s="45"/>
      <c r="AD600" s="45"/>
      <c r="AE600" s="45"/>
      <c r="AF600" s="45"/>
      <c r="AG600" s="45"/>
      <c r="AH600" s="45"/>
      <c r="AI600" s="45"/>
      <c r="AJ600" s="45"/>
      <c r="AK600" s="45"/>
      <c r="AL600" s="45"/>
      <c r="AM600" s="43"/>
      <c r="AN600" s="43"/>
      <c r="AO600" s="43"/>
      <c r="AP600" s="43"/>
    </row>
    <row r="601" spans="1:42" x14ac:dyDescent="0.3">
      <c r="B601" s="39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AA601" s="39"/>
      <c r="AB601" s="40"/>
      <c r="AC601" s="40"/>
      <c r="AD601" s="40"/>
      <c r="AE601" s="40"/>
      <c r="AF601" s="40"/>
      <c r="AG601" s="40"/>
      <c r="AH601" s="40"/>
      <c r="AI601" s="40"/>
      <c r="AJ601" s="40"/>
      <c r="AK601" s="40"/>
    </row>
    <row r="602" spans="1:42" x14ac:dyDescent="0.3">
      <c r="A602" s="44"/>
      <c r="B602" s="44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4"/>
      <c r="AA602" s="44"/>
      <c r="AB602" s="45"/>
      <c r="AC602" s="45"/>
      <c r="AD602" s="45"/>
      <c r="AE602" s="45"/>
      <c r="AF602" s="45"/>
      <c r="AG602" s="45"/>
      <c r="AH602" s="45"/>
      <c r="AI602" s="45"/>
      <c r="AJ602" s="45"/>
      <c r="AK602" s="45"/>
      <c r="AL602" s="45"/>
      <c r="AM602" s="43"/>
      <c r="AN602" s="43"/>
      <c r="AO602" s="43"/>
      <c r="AP602" s="43"/>
    </row>
    <row r="603" spans="1:42" x14ac:dyDescent="0.3">
      <c r="B603" s="39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AA603" s="39"/>
      <c r="AB603" s="40"/>
      <c r="AC603" s="40"/>
      <c r="AD603" s="40"/>
      <c r="AE603" s="40"/>
      <c r="AF603" s="40"/>
      <c r="AG603" s="40"/>
      <c r="AH603" s="40"/>
      <c r="AI603" s="40"/>
      <c r="AJ603" s="40"/>
      <c r="AK603" s="40"/>
    </row>
    <row r="604" spans="1:42" x14ac:dyDescent="0.3">
      <c r="A604" s="44"/>
      <c r="B604" s="44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4"/>
      <c r="AA604" s="44"/>
      <c r="AB604" s="45"/>
      <c r="AC604" s="45"/>
      <c r="AD604" s="45"/>
      <c r="AE604" s="45"/>
      <c r="AF604" s="45"/>
      <c r="AG604" s="45"/>
      <c r="AH604" s="45"/>
      <c r="AI604" s="45"/>
      <c r="AJ604" s="45"/>
      <c r="AK604" s="45"/>
      <c r="AL604" s="45"/>
      <c r="AM604" s="43"/>
      <c r="AN604" s="43"/>
      <c r="AO604" s="43"/>
      <c r="AP604" s="43"/>
    </row>
    <row r="605" spans="1:42" x14ac:dyDescent="0.3">
      <c r="B605" s="39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AA605" s="39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</row>
    <row r="606" spans="1:42" x14ac:dyDescent="0.3">
      <c r="A606" s="44"/>
      <c r="B606" s="44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4"/>
      <c r="AA606" s="44"/>
      <c r="AB606" s="45"/>
      <c r="AC606" s="45"/>
      <c r="AD606" s="45"/>
      <c r="AE606" s="45"/>
      <c r="AF606" s="45"/>
      <c r="AG606" s="45"/>
      <c r="AH606" s="45"/>
      <c r="AI606" s="45"/>
      <c r="AJ606" s="45"/>
      <c r="AK606" s="45"/>
      <c r="AL606" s="45"/>
      <c r="AM606" s="43"/>
      <c r="AN606" s="43"/>
      <c r="AO606" s="43"/>
      <c r="AP606" s="43"/>
    </row>
    <row r="607" spans="1:42" x14ac:dyDescent="0.3">
      <c r="B607" s="39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AA607" s="39"/>
      <c r="AB607" s="40"/>
      <c r="AC607" s="40"/>
      <c r="AD607" s="40"/>
      <c r="AE607" s="40"/>
      <c r="AF607" s="40"/>
      <c r="AG607" s="40"/>
      <c r="AH607" s="40"/>
      <c r="AI607" s="40"/>
      <c r="AJ607" s="40"/>
      <c r="AK607" s="40"/>
    </row>
    <row r="608" spans="1:42" x14ac:dyDescent="0.3">
      <c r="A608" s="44"/>
      <c r="B608" s="44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4"/>
      <c r="AA608" s="44"/>
      <c r="AB608" s="45"/>
      <c r="AC608" s="45"/>
      <c r="AD608" s="45"/>
      <c r="AE608" s="45"/>
      <c r="AF608" s="45"/>
      <c r="AG608" s="45"/>
      <c r="AH608" s="45"/>
      <c r="AI608" s="45"/>
      <c r="AJ608" s="45"/>
      <c r="AK608" s="45"/>
      <c r="AL608" s="45"/>
      <c r="AM608" s="43"/>
      <c r="AN608" s="43"/>
      <c r="AO608" s="43"/>
      <c r="AP608" s="43"/>
    </row>
    <row r="609" spans="1:42" x14ac:dyDescent="0.3">
      <c r="B609" s="39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AA609" s="39"/>
      <c r="AB609" s="40"/>
      <c r="AC609" s="40"/>
      <c r="AD609" s="40"/>
      <c r="AE609" s="40"/>
      <c r="AF609" s="40"/>
      <c r="AG609" s="40"/>
      <c r="AH609" s="40"/>
      <c r="AI609" s="40"/>
      <c r="AJ609" s="40"/>
      <c r="AK609" s="40"/>
    </row>
    <row r="610" spans="1:42" x14ac:dyDescent="0.3">
      <c r="A610" s="44"/>
      <c r="B610" s="44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4"/>
      <c r="AA610" s="44"/>
      <c r="AB610" s="45"/>
      <c r="AC610" s="45"/>
      <c r="AD610" s="45"/>
      <c r="AE610" s="45"/>
      <c r="AF610" s="45"/>
      <c r="AG610" s="45"/>
      <c r="AH610" s="45"/>
      <c r="AI610" s="45"/>
      <c r="AJ610" s="45"/>
      <c r="AK610" s="45"/>
      <c r="AL610" s="45"/>
      <c r="AM610" s="43"/>
      <c r="AN610" s="43"/>
      <c r="AO610" s="43"/>
      <c r="AP610" s="43"/>
    </row>
    <row r="611" spans="1:42" x14ac:dyDescent="0.3">
      <c r="B611" s="39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AA611" s="39"/>
      <c r="AB611" s="40"/>
      <c r="AC611" s="40"/>
      <c r="AD611" s="40"/>
      <c r="AE611" s="40"/>
      <c r="AF611" s="40"/>
      <c r="AG611" s="40"/>
      <c r="AH611" s="40"/>
      <c r="AI611" s="40"/>
      <c r="AJ611" s="40"/>
      <c r="AK611" s="40"/>
    </row>
    <row r="612" spans="1:42" x14ac:dyDescent="0.3">
      <c r="A612" s="44"/>
      <c r="B612" s="44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4"/>
      <c r="AA612" s="44"/>
      <c r="AB612" s="45"/>
      <c r="AC612" s="45"/>
      <c r="AD612" s="45"/>
      <c r="AE612" s="45"/>
      <c r="AF612" s="45"/>
      <c r="AG612" s="45"/>
      <c r="AH612" s="45"/>
      <c r="AI612" s="45"/>
      <c r="AJ612" s="45"/>
      <c r="AK612" s="45"/>
      <c r="AL612" s="45"/>
      <c r="AM612" s="43"/>
      <c r="AN612" s="43"/>
      <c r="AO612" s="43"/>
      <c r="AP612" s="43"/>
    </row>
    <row r="613" spans="1:42" x14ac:dyDescent="0.3">
      <c r="B613" s="39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AA613" s="39"/>
      <c r="AB613" s="40"/>
      <c r="AC613" s="40"/>
      <c r="AD613" s="40"/>
      <c r="AE613" s="40"/>
      <c r="AF613" s="40"/>
      <c r="AG613" s="40"/>
      <c r="AH613" s="40"/>
      <c r="AI613" s="40"/>
      <c r="AJ613" s="40"/>
      <c r="AK613" s="40"/>
    </row>
    <row r="614" spans="1:42" x14ac:dyDescent="0.3">
      <c r="A614" s="44"/>
      <c r="B614" s="44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4"/>
      <c r="AA614" s="44"/>
      <c r="AB614" s="45"/>
      <c r="AC614" s="45"/>
      <c r="AD614" s="45"/>
      <c r="AE614" s="45"/>
      <c r="AF614" s="45"/>
      <c r="AG614" s="45"/>
      <c r="AH614" s="45"/>
      <c r="AI614" s="45"/>
      <c r="AJ614" s="45"/>
      <c r="AK614" s="45"/>
      <c r="AL614" s="45"/>
      <c r="AM614" s="43"/>
      <c r="AN614" s="43"/>
      <c r="AO614" s="43"/>
      <c r="AP614" s="43"/>
    </row>
    <row r="615" spans="1:42" x14ac:dyDescent="0.3">
      <c r="B615" s="39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AA615" s="39"/>
      <c r="AB615" s="40"/>
      <c r="AC615" s="40"/>
      <c r="AD615" s="40"/>
      <c r="AE615" s="40"/>
      <c r="AF615" s="40"/>
      <c r="AG615" s="40"/>
      <c r="AH615" s="40"/>
      <c r="AI615" s="40"/>
      <c r="AJ615" s="40"/>
      <c r="AK615" s="40"/>
    </row>
    <row r="616" spans="1:42" x14ac:dyDescent="0.3">
      <c r="A616" s="44"/>
      <c r="B616" s="44"/>
      <c r="C616" s="45"/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4"/>
      <c r="AA616" s="44"/>
      <c r="AB616" s="45"/>
      <c r="AC616" s="45"/>
      <c r="AD616" s="45"/>
      <c r="AE616" s="45"/>
      <c r="AF616" s="45"/>
      <c r="AG616" s="45"/>
      <c r="AH616" s="45"/>
      <c r="AI616" s="45"/>
      <c r="AJ616" s="45"/>
      <c r="AK616" s="45"/>
      <c r="AL616" s="45"/>
      <c r="AM616" s="43"/>
      <c r="AN616" s="43"/>
      <c r="AO616" s="43"/>
      <c r="AP616" s="43"/>
    </row>
    <row r="617" spans="1:42" x14ac:dyDescent="0.3">
      <c r="B617" s="39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AA617" s="39"/>
      <c r="AB617" s="40"/>
      <c r="AC617" s="40"/>
      <c r="AD617" s="40"/>
      <c r="AE617" s="40"/>
      <c r="AF617" s="40"/>
      <c r="AG617" s="40"/>
      <c r="AH617" s="40"/>
      <c r="AI617" s="40"/>
      <c r="AJ617" s="40"/>
      <c r="AK617" s="40"/>
    </row>
    <row r="618" spans="1:42" x14ac:dyDescent="0.3">
      <c r="A618" s="44"/>
      <c r="B618" s="44"/>
      <c r="C618" s="45"/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4"/>
      <c r="AA618" s="44"/>
      <c r="AB618" s="45"/>
      <c r="AC618" s="45"/>
      <c r="AD618" s="45"/>
      <c r="AE618" s="45"/>
      <c r="AF618" s="45"/>
      <c r="AG618" s="45"/>
      <c r="AH618" s="45"/>
      <c r="AI618" s="45"/>
      <c r="AJ618" s="45"/>
      <c r="AK618" s="45"/>
      <c r="AL618" s="45"/>
      <c r="AM618" s="43"/>
      <c r="AN618" s="43"/>
      <c r="AO618" s="43"/>
      <c r="AP618" s="43"/>
    </row>
    <row r="619" spans="1:42" x14ac:dyDescent="0.3">
      <c r="B619" s="39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AA619" s="39"/>
      <c r="AB619" s="40"/>
      <c r="AC619" s="40"/>
      <c r="AD619" s="40"/>
      <c r="AE619" s="40"/>
      <c r="AF619" s="40"/>
      <c r="AG619" s="40"/>
      <c r="AH619" s="40"/>
      <c r="AI619" s="40"/>
      <c r="AJ619" s="40"/>
      <c r="AK619" s="40"/>
    </row>
    <row r="620" spans="1:42" x14ac:dyDescent="0.3">
      <c r="A620" s="44"/>
      <c r="B620" s="44"/>
      <c r="C620" s="45"/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4"/>
      <c r="AA620" s="44"/>
      <c r="AB620" s="45"/>
      <c r="AC620" s="45"/>
      <c r="AD620" s="45"/>
      <c r="AE620" s="45"/>
      <c r="AF620" s="45"/>
      <c r="AG620" s="45"/>
      <c r="AH620" s="45"/>
      <c r="AI620" s="45"/>
      <c r="AJ620" s="45"/>
      <c r="AK620" s="45"/>
      <c r="AL620" s="45"/>
      <c r="AM620" s="43"/>
      <c r="AN620" s="43"/>
      <c r="AO620" s="43"/>
      <c r="AP620" s="43"/>
    </row>
    <row r="621" spans="1:42" x14ac:dyDescent="0.3">
      <c r="B621" s="39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AA621" s="39"/>
      <c r="AB621" s="40"/>
      <c r="AC621" s="40"/>
      <c r="AD621" s="40"/>
      <c r="AE621" s="40"/>
      <c r="AF621" s="40"/>
      <c r="AG621" s="40"/>
      <c r="AH621" s="40"/>
      <c r="AI621" s="40"/>
      <c r="AJ621" s="40"/>
      <c r="AK621" s="40"/>
    </row>
    <row r="622" spans="1:42" x14ac:dyDescent="0.3">
      <c r="A622" s="44"/>
      <c r="B622" s="44"/>
      <c r="C622" s="45"/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4"/>
      <c r="AA622" s="44"/>
      <c r="AB622" s="45"/>
      <c r="AC622" s="45"/>
      <c r="AD622" s="45"/>
      <c r="AE622" s="45"/>
      <c r="AF622" s="45"/>
      <c r="AG622" s="45"/>
      <c r="AH622" s="45"/>
      <c r="AI622" s="45"/>
      <c r="AJ622" s="45"/>
      <c r="AK622" s="45"/>
      <c r="AL622" s="45"/>
      <c r="AM622" s="43"/>
      <c r="AN622" s="43"/>
      <c r="AO622" s="43"/>
      <c r="AP622" s="43"/>
    </row>
    <row r="623" spans="1:42" x14ac:dyDescent="0.3">
      <c r="B623" s="39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AA623" s="39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</row>
    <row r="624" spans="1:42" x14ac:dyDescent="0.3">
      <c r="A624" s="44"/>
      <c r="B624" s="44"/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4"/>
      <c r="AA624" s="44"/>
      <c r="AB624" s="45"/>
      <c r="AC624" s="45"/>
      <c r="AD624" s="45"/>
      <c r="AE624" s="45"/>
      <c r="AF624" s="45"/>
      <c r="AG624" s="45"/>
      <c r="AH624" s="45"/>
      <c r="AI624" s="45"/>
      <c r="AJ624" s="45"/>
      <c r="AK624" s="45"/>
      <c r="AL624" s="45"/>
      <c r="AM624" s="43"/>
      <c r="AN624" s="43"/>
      <c r="AO624" s="43"/>
      <c r="AP624" s="43"/>
    </row>
    <row r="625" spans="1:42" x14ac:dyDescent="0.3">
      <c r="B625" s="39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AA625" s="39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</row>
    <row r="626" spans="1:42" x14ac:dyDescent="0.3">
      <c r="A626" s="44"/>
      <c r="B626" s="44"/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4"/>
      <c r="AA626" s="44"/>
      <c r="AB626" s="45"/>
      <c r="AC626" s="45"/>
      <c r="AD626" s="45"/>
      <c r="AE626" s="45"/>
      <c r="AF626" s="45"/>
      <c r="AG626" s="45"/>
      <c r="AH626" s="45"/>
      <c r="AI626" s="45"/>
      <c r="AJ626" s="45"/>
      <c r="AK626" s="45"/>
      <c r="AL626" s="45"/>
      <c r="AM626" s="43"/>
      <c r="AN626" s="43"/>
      <c r="AO626" s="43"/>
      <c r="AP626" s="43"/>
    </row>
    <row r="627" spans="1:42" x14ac:dyDescent="0.3">
      <c r="B627" s="39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AA627" s="39"/>
      <c r="AB627" s="40"/>
      <c r="AC627" s="40"/>
      <c r="AD627" s="40"/>
      <c r="AE627" s="40"/>
      <c r="AF627" s="40"/>
      <c r="AG627" s="40"/>
      <c r="AH627" s="40"/>
      <c r="AI627" s="40"/>
      <c r="AJ627" s="40"/>
      <c r="AK627" s="40"/>
    </row>
    <row r="628" spans="1:42" x14ac:dyDescent="0.3">
      <c r="A628" s="44"/>
      <c r="B628" s="44"/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4"/>
      <c r="AA628" s="44"/>
      <c r="AB628" s="45"/>
      <c r="AC628" s="45"/>
      <c r="AD628" s="45"/>
      <c r="AE628" s="45"/>
      <c r="AF628" s="45"/>
      <c r="AG628" s="45"/>
      <c r="AH628" s="45"/>
      <c r="AI628" s="45"/>
      <c r="AJ628" s="45"/>
      <c r="AK628" s="45"/>
      <c r="AL628" s="45"/>
      <c r="AM628" s="43"/>
      <c r="AN628" s="43"/>
      <c r="AO628" s="43"/>
      <c r="AP628" s="43"/>
    </row>
    <row r="629" spans="1:42" x14ac:dyDescent="0.3">
      <c r="B629" s="39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AA629" s="39"/>
      <c r="AB629" s="40"/>
      <c r="AC629" s="40"/>
      <c r="AD629" s="40"/>
      <c r="AE629" s="40"/>
      <c r="AF629" s="40"/>
      <c r="AG629" s="40"/>
      <c r="AH629" s="40"/>
      <c r="AI629" s="40"/>
      <c r="AJ629" s="40"/>
      <c r="AK629" s="40"/>
    </row>
    <row r="630" spans="1:42" x14ac:dyDescent="0.3">
      <c r="A630" s="44"/>
      <c r="B630" s="44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4"/>
      <c r="AA630" s="44"/>
      <c r="AB630" s="45"/>
      <c r="AC630" s="45"/>
      <c r="AD630" s="45"/>
      <c r="AE630" s="45"/>
      <c r="AF630" s="45"/>
      <c r="AG630" s="45"/>
      <c r="AH630" s="45"/>
      <c r="AI630" s="45"/>
      <c r="AJ630" s="45"/>
      <c r="AK630" s="45"/>
      <c r="AL630" s="45"/>
      <c r="AM630" s="43"/>
      <c r="AN630" s="43"/>
      <c r="AO630" s="43"/>
      <c r="AP630" s="43"/>
    </row>
    <row r="631" spans="1:42" x14ac:dyDescent="0.3">
      <c r="B631" s="39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AA631" s="39"/>
      <c r="AB631" s="40"/>
      <c r="AC631" s="40"/>
      <c r="AD631" s="40"/>
      <c r="AE631" s="40"/>
      <c r="AF631" s="40"/>
      <c r="AG631" s="40"/>
      <c r="AH631" s="40"/>
      <c r="AI631" s="40"/>
      <c r="AJ631" s="40"/>
      <c r="AK631" s="40"/>
    </row>
    <row r="632" spans="1:42" x14ac:dyDescent="0.3">
      <c r="A632" s="44"/>
      <c r="B632" s="44"/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4"/>
      <c r="AA632" s="44"/>
      <c r="AB632" s="45"/>
      <c r="AC632" s="45"/>
      <c r="AD632" s="45"/>
      <c r="AE632" s="45"/>
      <c r="AF632" s="45"/>
      <c r="AG632" s="45"/>
      <c r="AH632" s="45"/>
      <c r="AI632" s="45"/>
      <c r="AJ632" s="45"/>
      <c r="AK632" s="45"/>
      <c r="AL632" s="45"/>
      <c r="AM632" s="43"/>
      <c r="AN632" s="43"/>
      <c r="AO632" s="43"/>
      <c r="AP632" s="43"/>
    </row>
    <row r="633" spans="1:42" x14ac:dyDescent="0.3">
      <c r="B633" s="39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AA633" s="39"/>
      <c r="AB633" s="40"/>
      <c r="AC633" s="40"/>
      <c r="AD633" s="40"/>
      <c r="AE633" s="40"/>
      <c r="AF633" s="40"/>
      <c r="AG633" s="40"/>
      <c r="AH633" s="40"/>
      <c r="AI633" s="40"/>
      <c r="AJ633" s="40"/>
      <c r="AK633" s="40"/>
    </row>
    <row r="634" spans="1:42" x14ac:dyDescent="0.3">
      <c r="A634" s="44"/>
      <c r="B634" s="44"/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4"/>
      <c r="AA634" s="44"/>
      <c r="AB634" s="45"/>
      <c r="AC634" s="45"/>
      <c r="AD634" s="45"/>
      <c r="AE634" s="45"/>
      <c r="AF634" s="45"/>
      <c r="AG634" s="45"/>
      <c r="AH634" s="45"/>
      <c r="AI634" s="45"/>
      <c r="AJ634" s="45"/>
      <c r="AK634" s="45"/>
      <c r="AL634" s="45"/>
      <c r="AM634" s="43"/>
      <c r="AN634" s="43"/>
      <c r="AO634" s="43"/>
      <c r="AP634" s="43"/>
    </row>
    <row r="635" spans="1:42" x14ac:dyDescent="0.3">
      <c r="B635" s="39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AA635" s="39"/>
      <c r="AB635" s="40"/>
      <c r="AC635" s="40"/>
      <c r="AD635" s="40"/>
      <c r="AE635" s="40"/>
      <c r="AF635" s="40"/>
      <c r="AG635" s="40"/>
      <c r="AH635" s="40"/>
      <c r="AI635" s="40"/>
      <c r="AJ635" s="40"/>
      <c r="AK635" s="40"/>
    </row>
    <row r="636" spans="1:42" x14ac:dyDescent="0.3">
      <c r="A636" s="44"/>
      <c r="B636" s="44"/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4"/>
      <c r="AA636" s="44"/>
      <c r="AB636" s="45"/>
      <c r="AC636" s="45"/>
      <c r="AD636" s="45"/>
      <c r="AE636" s="45"/>
      <c r="AF636" s="45"/>
      <c r="AG636" s="45"/>
      <c r="AH636" s="45"/>
      <c r="AI636" s="45"/>
      <c r="AJ636" s="45"/>
      <c r="AK636" s="45"/>
      <c r="AL636" s="45"/>
      <c r="AM636" s="43"/>
      <c r="AN636" s="43"/>
      <c r="AO636" s="43"/>
      <c r="AP636" s="43"/>
    </row>
    <row r="637" spans="1:42" x14ac:dyDescent="0.3">
      <c r="B637" s="39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AA637" s="39"/>
      <c r="AB637" s="40"/>
      <c r="AC637" s="40"/>
      <c r="AD637" s="40"/>
      <c r="AE637" s="40"/>
      <c r="AF637" s="40"/>
      <c r="AG637" s="40"/>
      <c r="AH637" s="40"/>
      <c r="AI637" s="40"/>
      <c r="AJ637" s="40"/>
      <c r="AK637" s="40"/>
    </row>
    <row r="638" spans="1:42" x14ac:dyDescent="0.3">
      <c r="A638" s="44"/>
      <c r="B638" s="44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4"/>
      <c r="AA638" s="44"/>
      <c r="AB638" s="45"/>
      <c r="AC638" s="45"/>
      <c r="AD638" s="45"/>
      <c r="AE638" s="45"/>
      <c r="AF638" s="45"/>
      <c r="AG638" s="45"/>
      <c r="AH638" s="45"/>
      <c r="AI638" s="45"/>
      <c r="AJ638" s="45"/>
      <c r="AK638" s="45"/>
      <c r="AL638" s="45"/>
      <c r="AM638" s="43"/>
      <c r="AN638" s="43"/>
      <c r="AO638" s="43"/>
      <c r="AP638" s="43"/>
    </row>
    <row r="639" spans="1:42" x14ac:dyDescent="0.3">
      <c r="B639" s="39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AA639" s="39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</row>
    <row r="640" spans="1:42" x14ac:dyDescent="0.3">
      <c r="A640" s="44"/>
      <c r="B640" s="44"/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4"/>
      <c r="AA640" s="44"/>
      <c r="AB640" s="45"/>
      <c r="AC640" s="45"/>
      <c r="AD640" s="45"/>
      <c r="AE640" s="45"/>
      <c r="AF640" s="45"/>
      <c r="AG640" s="45"/>
      <c r="AH640" s="45"/>
      <c r="AI640" s="45"/>
      <c r="AJ640" s="45"/>
      <c r="AK640" s="45"/>
      <c r="AL640" s="45"/>
      <c r="AM640" s="43"/>
      <c r="AN640" s="43"/>
      <c r="AO640" s="43"/>
      <c r="AP640" s="43"/>
    </row>
    <row r="641" spans="1:42" x14ac:dyDescent="0.3">
      <c r="B641" s="39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AA641" s="39"/>
      <c r="AB641" s="40"/>
      <c r="AC641" s="40"/>
      <c r="AD641" s="40"/>
      <c r="AE641" s="40"/>
      <c r="AF641" s="40"/>
      <c r="AG641" s="40"/>
      <c r="AH641" s="40"/>
      <c r="AI641" s="40"/>
      <c r="AJ641" s="40"/>
      <c r="AK641" s="40"/>
    </row>
    <row r="642" spans="1:42" x14ac:dyDescent="0.3">
      <c r="A642" s="44"/>
      <c r="B642" s="44"/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4"/>
      <c r="AA642" s="44"/>
      <c r="AB642" s="45"/>
      <c r="AC642" s="45"/>
      <c r="AD642" s="45"/>
      <c r="AE642" s="45"/>
      <c r="AF642" s="45"/>
      <c r="AG642" s="45"/>
      <c r="AH642" s="45"/>
      <c r="AI642" s="45"/>
      <c r="AJ642" s="45"/>
      <c r="AK642" s="45"/>
      <c r="AL642" s="45"/>
      <c r="AM642" s="43"/>
      <c r="AN642" s="43"/>
      <c r="AO642" s="43"/>
      <c r="AP642" s="43"/>
    </row>
    <row r="643" spans="1:42" x14ac:dyDescent="0.3">
      <c r="B643" s="39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AA643" s="39"/>
      <c r="AB643" s="40"/>
      <c r="AC643" s="40"/>
      <c r="AD643" s="40"/>
      <c r="AE643" s="40"/>
      <c r="AF643" s="40"/>
      <c r="AG643" s="40"/>
      <c r="AH643" s="40"/>
      <c r="AI643" s="40"/>
      <c r="AJ643" s="40"/>
      <c r="AK643" s="40"/>
    </row>
    <row r="644" spans="1:42" x14ac:dyDescent="0.3">
      <c r="A644" s="44"/>
      <c r="B644" s="44"/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4"/>
      <c r="AA644" s="44"/>
      <c r="AB644" s="45"/>
      <c r="AC644" s="45"/>
      <c r="AD644" s="45"/>
      <c r="AE644" s="45"/>
      <c r="AF644" s="45"/>
      <c r="AG644" s="45"/>
      <c r="AH644" s="45"/>
      <c r="AI644" s="45"/>
      <c r="AJ644" s="45"/>
      <c r="AK644" s="45"/>
      <c r="AL644" s="45"/>
      <c r="AM644" s="43"/>
      <c r="AN644" s="43"/>
      <c r="AO644" s="43"/>
      <c r="AP644" s="43"/>
    </row>
    <row r="645" spans="1:42" x14ac:dyDescent="0.3">
      <c r="B645" s="39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AA645" s="39"/>
      <c r="AB645" s="40"/>
      <c r="AC645" s="40"/>
      <c r="AD645" s="40"/>
      <c r="AE645" s="40"/>
      <c r="AF645" s="40"/>
      <c r="AG645" s="40"/>
      <c r="AH645" s="40"/>
      <c r="AI645" s="40"/>
      <c r="AJ645" s="40"/>
      <c r="AK645" s="40"/>
    </row>
    <row r="646" spans="1:42" x14ac:dyDescent="0.3">
      <c r="A646" s="44"/>
      <c r="B646" s="44"/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4"/>
      <c r="AA646" s="44"/>
      <c r="AB646" s="45"/>
      <c r="AC646" s="45"/>
      <c r="AD646" s="45"/>
      <c r="AE646" s="45"/>
      <c r="AF646" s="45"/>
      <c r="AG646" s="45"/>
      <c r="AH646" s="45"/>
      <c r="AI646" s="45"/>
      <c r="AJ646" s="45"/>
      <c r="AK646" s="45"/>
      <c r="AL646" s="45"/>
      <c r="AM646" s="43"/>
      <c r="AN646" s="43"/>
      <c r="AO646" s="43"/>
      <c r="AP646" s="43"/>
    </row>
    <row r="647" spans="1:42" x14ac:dyDescent="0.3">
      <c r="B647" s="39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AA647" s="39"/>
      <c r="AB647" s="40"/>
      <c r="AC647" s="40"/>
      <c r="AD647" s="40"/>
      <c r="AE647" s="40"/>
      <c r="AF647" s="40"/>
      <c r="AG647" s="40"/>
      <c r="AH647" s="40"/>
      <c r="AI647" s="40"/>
      <c r="AJ647" s="40"/>
      <c r="AK647" s="40"/>
    </row>
    <row r="648" spans="1:42" x14ac:dyDescent="0.3">
      <c r="A648" s="44"/>
      <c r="B648" s="44"/>
      <c r="C648" s="45"/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4"/>
      <c r="AA648" s="44"/>
      <c r="AB648" s="45"/>
      <c r="AC648" s="45"/>
      <c r="AD648" s="45"/>
      <c r="AE648" s="45"/>
      <c r="AF648" s="45"/>
      <c r="AG648" s="45"/>
      <c r="AH648" s="45"/>
      <c r="AI648" s="45"/>
      <c r="AJ648" s="45"/>
      <c r="AK648" s="45"/>
      <c r="AL648" s="45"/>
      <c r="AM648" s="43"/>
      <c r="AN648" s="43"/>
      <c r="AO648" s="43"/>
      <c r="AP648" s="43"/>
    </row>
    <row r="649" spans="1:42" x14ac:dyDescent="0.3">
      <c r="B649" s="39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AA649" s="39"/>
      <c r="AB649" s="40"/>
      <c r="AC649" s="40"/>
      <c r="AD649" s="40"/>
      <c r="AE649" s="40"/>
      <c r="AF649" s="40"/>
      <c r="AG649" s="40"/>
      <c r="AH649" s="40"/>
      <c r="AI649" s="40"/>
      <c r="AJ649" s="40"/>
      <c r="AK649" s="40"/>
    </row>
    <row r="650" spans="1:42" x14ac:dyDescent="0.3">
      <c r="A650" s="44"/>
      <c r="B650" s="44"/>
      <c r="C650" s="45"/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4"/>
      <c r="AA650" s="44"/>
      <c r="AB650" s="45"/>
      <c r="AC650" s="45"/>
      <c r="AD650" s="45"/>
      <c r="AE650" s="45"/>
      <c r="AF650" s="45"/>
      <c r="AG650" s="45"/>
      <c r="AH650" s="45"/>
      <c r="AI650" s="45"/>
      <c r="AJ650" s="45"/>
      <c r="AK650" s="45"/>
      <c r="AL650" s="45"/>
      <c r="AM650" s="43"/>
      <c r="AN650" s="43"/>
      <c r="AO650" s="43"/>
      <c r="AP650" s="43"/>
    </row>
    <row r="651" spans="1:42" x14ac:dyDescent="0.3">
      <c r="B651" s="39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AA651" s="39"/>
      <c r="AB651" s="40"/>
      <c r="AC651" s="40"/>
      <c r="AD651" s="40"/>
      <c r="AE651" s="40"/>
      <c r="AF651" s="40"/>
      <c r="AG651" s="40"/>
      <c r="AH651" s="40"/>
      <c r="AI651" s="40"/>
      <c r="AJ651" s="40"/>
      <c r="AK651" s="40"/>
    </row>
    <row r="652" spans="1:42" x14ac:dyDescent="0.3">
      <c r="A652" s="44"/>
      <c r="B652" s="44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4"/>
      <c r="AA652" s="44"/>
      <c r="AB652" s="45"/>
      <c r="AC652" s="45"/>
      <c r="AD652" s="45"/>
      <c r="AE652" s="45"/>
      <c r="AF652" s="45"/>
      <c r="AG652" s="45"/>
      <c r="AH652" s="45"/>
      <c r="AI652" s="45"/>
      <c r="AJ652" s="45"/>
      <c r="AK652" s="45"/>
      <c r="AL652" s="45"/>
      <c r="AM652" s="43"/>
      <c r="AN652" s="43"/>
      <c r="AO652" s="43"/>
      <c r="AP652" s="43"/>
    </row>
    <row r="653" spans="1:42" x14ac:dyDescent="0.3">
      <c r="B653" s="39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AA653" s="39"/>
      <c r="AB653" s="40"/>
      <c r="AC653" s="40"/>
      <c r="AD653" s="40"/>
      <c r="AE653" s="40"/>
      <c r="AF653" s="40"/>
      <c r="AG653" s="40"/>
      <c r="AH653" s="40"/>
      <c r="AI653" s="40"/>
      <c r="AJ653" s="40"/>
      <c r="AK653" s="40"/>
    </row>
    <row r="654" spans="1:42" x14ac:dyDescent="0.3">
      <c r="A654" s="44"/>
      <c r="B654" s="44"/>
      <c r="C654" s="45"/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4"/>
      <c r="AA654" s="44"/>
      <c r="AB654" s="45"/>
      <c r="AC654" s="45"/>
      <c r="AD654" s="45"/>
      <c r="AE654" s="45"/>
      <c r="AF654" s="45"/>
      <c r="AG654" s="45"/>
      <c r="AH654" s="45"/>
      <c r="AI654" s="45"/>
      <c r="AJ654" s="45"/>
      <c r="AK654" s="45"/>
      <c r="AL654" s="45"/>
      <c r="AM654" s="43"/>
      <c r="AN654" s="43"/>
      <c r="AO654" s="43"/>
      <c r="AP654" s="43"/>
    </row>
    <row r="655" spans="1:42" x14ac:dyDescent="0.3">
      <c r="B655" s="39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AA655" s="39"/>
      <c r="AB655" s="40"/>
      <c r="AC655" s="40"/>
      <c r="AD655" s="40"/>
      <c r="AE655" s="40"/>
      <c r="AF655" s="40"/>
      <c r="AG655" s="40"/>
      <c r="AH655" s="40"/>
      <c r="AI655" s="40"/>
      <c r="AJ655" s="40"/>
      <c r="AK655" s="40"/>
    </row>
    <row r="656" spans="1:42" x14ac:dyDescent="0.3">
      <c r="A656" s="44"/>
      <c r="B656" s="44"/>
      <c r="C656" s="45"/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4"/>
      <c r="AA656" s="44"/>
      <c r="AB656" s="45"/>
      <c r="AC656" s="45"/>
      <c r="AD656" s="45"/>
      <c r="AE656" s="45"/>
      <c r="AF656" s="45"/>
      <c r="AG656" s="45"/>
      <c r="AH656" s="45"/>
      <c r="AI656" s="45"/>
      <c r="AJ656" s="45"/>
      <c r="AK656" s="45"/>
      <c r="AL656" s="45"/>
      <c r="AM656" s="43"/>
      <c r="AN656" s="43"/>
      <c r="AO656" s="43"/>
      <c r="AP656" s="43"/>
    </row>
    <row r="657" spans="1:42" x14ac:dyDescent="0.3">
      <c r="B657" s="39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AA657" s="39"/>
      <c r="AB657" s="40"/>
      <c r="AC657" s="40"/>
      <c r="AD657" s="40"/>
      <c r="AE657" s="40"/>
      <c r="AF657" s="40"/>
      <c r="AG657" s="40"/>
      <c r="AH657" s="40"/>
      <c r="AI657" s="40"/>
      <c r="AJ657" s="40"/>
      <c r="AK657" s="40"/>
    </row>
    <row r="658" spans="1:42" x14ac:dyDescent="0.3">
      <c r="A658" s="44"/>
      <c r="B658" s="44"/>
      <c r="C658" s="45"/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4"/>
      <c r="AA658" s="44"/>
      <c r="AB658" s="45"/>
      <c r="AC658" s="45"/>
      <c r="AD658" s="45"/>
      <c r="AE658" s="45"/>
      <c r="AF658" s="45"/>
      <c r="AG658" s="45"/>
      <c r="AH658" s="45"/>
      <c r="AI658" s="45"/>
      <c r="AJ658" s="45"/>
      <c r="AK658" s="45"/>
      <c r="AL658" s="45"/>
      <c r="AM658" s="43"/>
      <c r="AN658" s="43"/>
      <c r="AO658" s="43"/>
      <c r="AP658" s="43"/>
    </row>
    <row r="659" spans="1:42" x14ac:dyDescent="0.3">
      <c r="B659" s="39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AA659" s="39"/>
      <c r="AB659" s="40"/>
      <c r="AC659" s="40"/>
      <c r="AD659" s="40"/>
      <c r="AE659" s="40"/>
      <c r="AF659" s="40"/>
      <c r="AG659" s="40"/>
      <c r="AH659" s="40"/>
      <c r="AI659" s="40"/>
      <c r="AJ659" s="40"/>
      <c r="AK659" s="40"/>
    </row>
    <row r="660" spans="1:42" x14ac:dyDescent="0.3">
      <c r="A660" s="44"/>
      <c r="B660" s="44"/>
      <c r="C660" s="45"/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4"/>
      <c r="AA660" s="44"/>
      <c r="AB660" s="45"/>
      <c r="AC660" s="45"/>
      <c r="AD660" s="45"/>
      <c r="AE660" s="45"/>
      <c r="AF660" s="45"/>
      <c r="AG660" s="45"/>
      <c r="AH660" s="45"/>
      <c r="AI660" s="45"/>
      <c r="AJ660" s="45"/>
      <c r="AK660" s="45"/>
      <c r="AL660" s="45"/>
      <c r="AM660" s="43"/>
      <c r="AN660" s="43"/>
      <c r="AO660" s="43"/>
      <c r="AP660" s="43"/>
    </row>
    <row r="661" spans="1:42" x14ac:dyDescent="0.3">
      <c r="B661" s="39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AA661" s="39"/>
      <c r="AB661" s="40"/>
      <c r="AC661" s="40"/>
      <c r="AD661" s="40"/>
      <c r="AE661" s="40"/>
      <c r="AF661" s="40"/>
      <c r="AG661" s="40"/>
      <c r="AH661" s="40"/>
      <c r="AI661" s="40"/>
      <c r="AJ661" s="40"/>
      <c r="AK661" s="40"/>
    </row>
    <row r="662" spans="1:42" x14ac:dyDescent="0.3">
      <c r="A662" s="44"/>
      <c r="B662" s="44"/>
      <c r="C662" s="45"/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4"/>
      <c r="AA662" s="44"/>
      <c r="AB662" s="45"/>
      <c r="AC662" s="45"/>
      <c r="AD662" s="45"/>
      <c r="AE662" s="45"/>
      <c r="AF662" s="45"/>
      <c r="AG662" s="45"/>
      <c r="AH662" s="45"/>
      <c r="AI662" s="45"/>
      <c r="AJ662" s="45"/>
      <c r="AK662" s="45"/>
      <c r="AL662" s="45"/>
      <c r="AM662" s="43"/>
      <c r="AN662" s="43"/>
      <c r="AO662" s="43"/>
      <c r="AP662" s="43"/>
    </row>
    <row r="663" spans="1:42" x14ac:dyDescent="0.3">
      <c r="B663" s="39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AA663" s="39"/>
      <c r="AB663" s="40"/>
      <c r="AC663" s="40"/>
      <c r="AD663" s="40"/>
      <c r="AE663" s="40"/>
      <c r="AF663" s="40"/>
      <c r="AG663" s="40"/>
      <c r="AH663" s="40"/>
      <c r="AI663" s="40"/>
      <c r="AJ663" s="40"/>
      <c r="AK663" s="40"/>
    </row>
    <row r="664" spans="1:42" x14ac:dyDescent="0.3">
      <c r="A664" s="44"/>
      <c r="B664" s="44"/>
      <c r="C664" s="45"/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4"/>
      <c r="AA664" s="44"/>
      <c r="AB664" s="45"/>
      <c r="AC664" s="45"/>
      <c r="AD664" s="45"/>
      <c r="AE664" s="45"/>
      <c r="AF664" s="45"/>
      <c r="AG664" s="45"/>
      <c r="AH664" s="45"/>
      <c r="AI664" s="45"/>
      <c r="AJ664" s="45"/>
      <c r="AK664" s="45"/>
      <c r="AL664" s="45"/>
      <c r="AM664" s="43"/>
      <c r="AN664" s="43"/>
      <c r="AO664" s="43"/>
      <c r="AP664" s="43"/>
    </row>
    <row r="665" spans="1:42" x14ac:dyDescent="0.3">
      <c r="B665" s="39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AA665" s="39"/>
      <c r="AB665" s="40"/>
      <c r="AC665" s="40"/>
      <c r="AD665" s="40"/>
      <c r="AE665" s="40"/>
      <c r="AF665" s="40"/>
      <c r="AG665" s="40"/>
      <c r="AH665" s="40"/>
      <c r="AI665" s="40"/>
      <c r="AJ665" s="40"/>
      <c r="AK665" s="40"/>
    </row>
    <row r="666" spans="1:42" x14ac:dyDescent="0.3">
      <c r="A666" s="44"/>
      <c r="B666" s="44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4"/>
      <c r="AA666" s="44"/>
      <c r="AB666" s="45"/>
      <c r="AC666" s="45"/>
      <c r="AD666" s="45"/>
      <c r="AE666" s="45"/>
      <c r="AF666" s="45"/>
      <c r="AG666" s="45"/>
      <c r="AH666" s="45"/>
      <c r="AI666" s="45"/>
      <c r="AJ666" s="45"/>
      <c r="AK666" s="45"/>
      <c r="AL666" s="45"/>
      <c r="AM666" s="43"/>
      <c r="AN666" s="43"/>
      <c r="AO666" s="43"/>
      <c r="AP666" s="43"/>
    </row>
    <row r="667" spans="1:42" x14ac:dyDescent="0.3">
      <c r="B667" s="39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AA667" s="39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</row>
    <row r="668" spans="1:42" x14ac:dyDescent="0.3">
      <c r="A668" s="44"/>
      <c r="B668" s="44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4"/>
      <c r="AA668" s="44"/>
      <c r="AB668" s="45"/>
      <c r="AC668" s="45"/>
      <c r="AD668" s="45"/>
      <c r="AE668" s="45"/>
      <c r="AF668" s="45"/>
      <c r="AG668" s="45"/>
      <c r="AH668" s="45"/>
      <c r="AI668" s="45"/>
      <c r="AJ668" s="45"/>
      <c r="AK668" s="45"/>
      <c r="AL668" s="45"/>
      <c r="AM668" s="43"/>
      <c r="AN668" s="43"/>
      <c r="AO668" s="43"/>
      <c r="AP668" s="43"/>
    </row>
    <row r="669" spans="1:42" x14ac:dyDescent="0.3">
      <c r="B669" s="39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AA669" s="39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</row>
    <row r="670" spans="1:42" x14ac:dyDescent="0.3">
      <c r="A670" s="44"/>
      <c r="B670" s="44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4"/>
      <c r="AA670" s="44"/>
      <c r="AB670" s="45"/>
      <c r="AC670" s="45"/>
      <c r="AD670" s="45"/>
      <c r="AE670" s="45"/>
      <c r="AF670" s="45"/>
      <c r="AG670" s="45"/>
      <c r="AH670" s="45"/>
      <c r="AI670" s="45"/>
      <c r="AJ670" s="45"/>
      <c r="AK670" s="45"/>
      <c r="AL670" s="45"/>
      <c r="AM670" s="43"/>
      <c r="AN670" s="43"/>
      <c r="AO670" s="43"/>
      <c r="AP670" s="43"/>
    </row>
    <row r="671" spans="1:42" x14ac:dyDescent="0.3">
      <c r="B671" s="39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AA671" s="39"/>
      <c r="AB671" s="40"/>
      <c r="AC671" s="40"/>
      <c r="AD671" s="40"/>
      <c r="AE671" s="40"/>
      <c r="AF671" s="40"/>
      <c r="AG671" s="40"/>
      <c r="AH671" s="40"/>
      <c r="AI671" s="40"/>
      <c r="AJ671" s="40"/>
      <c r="AK671" s="40"/>
    </row>
    <row r="672" spans="1:42" x14ac:dyDescent="0.3">
      <c r="A672" s="44"/>
      <c r="B672" s="44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4"/>
      <c r="AA672" s="44"/>
      <c r="AB672" s="45"/>
      <c r="AC672" s="45"/>
      <c r="AD672" s="45"/>
      <c r="AE672" s="45"/>
      <c r="AF672" s="45"/>
      <c r="AG672" s="45"/>
      <c r="AH672" s="45"/>
      <c r="AI672" s="45"/>
      <c r="AJ672" s="45"/>
      <c r="AK672" s="45"/>
      <c r="AL672" s="45"/>
      <c r="AM672" s="43"/>
      <c r="AN672" s="43"/>
      <c r="AO672" s="43"/>
      <c r="AP672" s="43"/>
    </row>
    <row r="673" spans="1:42" x14ac:dyDescent="0.3">
      <c r="B673" s="39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AA673" s="39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</row>
    <row r="674" spans="1:42" x14ac:dyDescent="0.3">
      <c r="A674" s="44"/>
      <c r="B674" s="44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4"/>
      <c r="AA674" s="44"/>
      <c r="AB674" s="45"/>
      <c r="AC674" s="45"/>
      <c r="AD674" s="45"/>
      <c r="AE674" s="45"/>
      <c r="AF674" s="45"/>
      <c r="AG674" s="45"/>
      <c r="AH674" s="45"/>
      <c r="AI674" s="45"/>
      <c r="AJ674" s="45"/>
      <c r="AK674" s="45"/>
      <c r="AL674" s="45"/>
      <c r="AM674" s="43"/>
      <c r="AN674" s="43"/>
      <c r="AO674" s="43"/>
      <c r="AP674" s="43"/>
    </row>
    <row r="675" spans="1:42" x14ac:dyDescent="0.3">
      <c r="B675" s="39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AA675" s="39"/>
      <c r="AB675" s="40"/>
      <c r="AC675" s="40"/>
      <c r="AD675" s="40"/>
      <c r="AE675" s="40"/>
      <c r="AF675" s="40"/>
      <c r="AG675" s="40"/>
      <c r="AH675" s="40"/>
      <c r="AI675" s="40"/>
      <c r="AJ675" s="40"/>
      <c r="AK675" s="40"/>
    </row>
    <row r="676" spans="1:42" x14ac:dyDescent="0.3">
      <c r="A676" s="44"/>
      <c r="B676" s="44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4"/>
      <c r="AA676" s="44"/>
      <c r="AB676" s="45"/>
      <c r="AC676" s="45"/>
      <c r="AD676" s="45"/>
      <c r="AE676" s="45"/>
      <c r="AF676" s="45"/>
      <c r="AG676" s="45"/>
      <c r="AH676" s="45"/>
      <c r="AI676" s="45"/>
      <c r="AJ676" s="45"/>
      <c r="AK676" s="45"/>
      <c r="AL676" s="45"/>
      <c r="AM676" s="43"/>
      <c r="AN676" s="43"/>
      <c r="AO676" s="43"/>
      <c r="AP676" s="43"/>
    </row>
    <row r="677" spans="1:42" x14ac:dyDescent="0.3">
      <c r="B677" s="39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AA677" s="39"/>
      <c r="AB677" s="40"/>
      <c r="AC677" s="40"/>
      <c r="AD677" s="40"/>
      <c r="AE677" s="40"/>
      <c r="AF677" s="40"/>
      <c r="AG677" s="40"/>
      <c r="AH677" s="40"/>
      <c r="AI677" s="40"/>
      <c r="AJ677" s="40"/>
      <c r="AK677" s="40"/>
    </row>
    <row r="678" spans="1:42" x14ac:dyDescent="0.3">
      <c r="A678" s="44"/>
      <c r="B678" s="44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4"/>
      <c r="AA678" s="44"/>
      <c r="AB678" s="45"/>
      <c r="AC678" s="45"/>
      <c r="AD678" s="45"/>
      <c r="AE678" s="45"/>
      <c r="AF678" s="45"/>
      <c r="AG678" s="45"/>
      <c r="AH678" s="45"/>
      <c r="AI678" s="45"/>
      <c r="AJ678" s="45"/>
      <c r="AK678" s="45"/>
      <c r="AL678" s="45"/>
      <c r="AM678" s="43"/>
      <c r="AN678" s="43"/>
      <c r="AO678" s="43"/>
      <c r="AP678" s="43"/>
    </row>
    <row r="679" spans="1:42" x14ac:dyDescent="0.3">
      <c r="B679" s="39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AA679" s="39"/>
      <c r="AB679" s="40"/>
      <c r="AC679" s="40"/>
      <c r="AD679" s="40"/>
      <c r="AE679" s="40"/>
      <c r="AF679" s="40"/>
      <c r="AG679" s="40"/>
      <c r="AH679" s="40"/>
      <c r="AI679" s="40"/>
      <c r="AJ679" s="40"/>
      <c r="AK679" s="40"/>
    </row>
    <row r="680" spans="1:42" x14ac:dyDescent="0.3">
      <c r="A680" s="44"/>
      <c r="B680" s="44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4"/>
      <c r="AA680" s="44"/>
      <c r="AB680" s="45"/>
      <c r="AC680" s="45"/>
      <c r="AD680" s="45"/>
      <c r="AE680" s="45"/>
      <c r="AF680" s="45"/>
      <c r="AG680" s="45"/>
      <c r="AH680" s="45"/>
      <c r="AI680" s="45"/>
      <c r="AJ680" s="45"/>
      <c r="AK680" s="45"/>
      <c r="AL680" s="45"/>
      <c r="AM680" s="43"/>
      <c r="AN680" s="43"/>
      <c r="AO680" s="43"/>
      <c r="AP680" s="43"/>
    </row>
    <row r="681" spans="1:42" x14ac:dyDescent="0.3">
      <c r="B681" s="39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AA681" s="39"/>
      <c r="AB681" s="40"/>
      <c r="AC681" s="40"/>
      <c r="AD681" s="40"/>
      <c r="AE681" s="40"/>
      <c r="AF681" s="40"/>
      <c r="AG681" s="40"/>
      <c r="AH681" s="40"/>
      <c r="AI681" s="40"/>
      <c r="AJ681" s="40"/>
      <c r="AK681" s="40"/>
    </row>
    <row r="682" spans="1:42" x14ac:dyDescent="0.3">
      <c r="A682" s="44"/>
      <c r="B682" s="44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4"/>
      <c r="AA682" s="44"/>
      <c r="AB682" s="45"/>
      <c r="AC682" s="45"/>
      <c r="AD682" s="45"/>
      <c r="AE682" s="45"/>
      <c r="AF682" s="45"/>
      <c r="AG682" s="45"/>
      <c r="AH682" s="45"/>
      <c r="AI682" s="45"/>
      <c r="AJ682" s="45"/>
      <c r="AK682" s="45"/>
      <c r="AL682" s="45"/>
      <c r="AM682" s="43"/>
      <c r="AN682" s="43"/>
      <c r="AO682" s="43"/>
      <c r="AP682" s="43"/>
    </row>
    <row r="683" spans="1:42" x14ac:dyDescent="0.3">
      <c r="B683" s="39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AA683" s="39"/>
      <c r="AB683" s="40"/>
      <c r="AC683" s="40"/>
      <c r="AD683" s="40"/>
      <c r="AE683" s="40"/>
      <c r="AF683" s="40"/>
      <c r="AG683" s="40"/>
      <c r="AH683" s="40"/>
      <c r="AI683" s="40"/>
      <c r="AJ683" s="40"/>
      <c r="AK683" s="40"/>
    </row>
    <row r="684" spans="1:42" x14ac:dyDescent="0.3">
      <c r="A684" s="44"/>
      <c r="B684" s="44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4"/>
      <c r="AA684" s="44"/>
      <c r="AB684" s="45"/>
      <c r="AC684" s="45"/>
      <c r="AD684" s="45"/>
      <c r="AE684" s="45"/>
      <c r="AF684" s="45"/>
      <c r="AG684" s="45"/>
      <c r="AH684" s="45"/>
      <c r="AI684" s="45"/>
      <c r="AJ684" s="45"/>
      <c r="AK684" s="45"/>
      <c r="AL684" s="45"/>
      <c r="AM684" s="43"/>
      <c r="AN684" s="43"/>
      <c r="AO684" s="43"/>
      <c r="AP684" s="43"/>
    </row>
    <row r="685" spans="1:42" x14ac:dyDescent="0.3">
      <c r="B685" s="39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AA685" s="39"/>
      <c r="AB685" s="40"/>
      <c r="AC685" s="40"/>
      <c r="AD685" s="40"/>
      <c r="AE685" s="40"/>
      <c r="AF685" s="40"/>
      <c r="AG685" s="40"/>
      <c r="AH685" s="40"/>
      <c r="AI685" s="40"/>
      <c r="AJ685" s="40"/>
      <c r="AK685" s="40"/>
    </row>
    <row r="686" spans="1:42" x14ac:dyDescent="0.3">
      <c r="A686" s="44"/>
      <c r="B686" s="44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4"/>
      <c r="AA686" s="44"/>
      <c r="AB686" s="45"/>
      <c r="AC686" s="45"/>
      <c r="AD686" s="45"/>
      <c r="AE686" s="45"/>
      <c r="AF686" s="45"/>
      <c r="AG686" s="45"/>
      <c r="AH686" s="45"/>
      <c r="AI686" s="45"/>
      <c r="AJ686" s="45"/>
      <c r="AK686" s="45"/>
      <c r="AL686" s="45"/>
      <c r="AM686" s="43"/>
      <c r="AN686" s="43"/>
      <c r="AO686" s="43"/>
      <c r="AP686" s="43"/>
    </row>
    <row r="687" spans="1:42" x14ac:dyDescent="0.3">
      <c r="B687" s="39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AA687" s="39"/>
      <c r="AB687" s="40"/>
      <c r="AC687" s="40"/>
      <c r="AD687" s="40"/>
      <c r="AE687" s="40"/>
      <c r="AF687" s="40"/>
      <c r="AG687" s="40"/>
      <c r="AH687" s="40"/>
      <c r="AI687" s="40"/>
      <c r="AJ687" s="40"/>
      <c r="AK687" s="40"/>
    </row>
    <row r="688" spans="1:42" x14ac:dyDescent="0.3">
      <c r="A688" s="44"/>
      <c r="B688" s="44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4"/>
      <c r="AA688" s="44"/>
      <c r="AB688" s="45"/>
      <c r="AC688" s="45"/>
      <c r="AD688" s="45"/>
      <c r="AE688" s="45"/>
      <c r="AF688" s="45"/>
      <c r="AG688" s="45"/>
      <c r="AH688" s="45"/>
      <c r="AI688" s="45"/>
      <c r="AJ688" s="45"/>
      <c r="AK688" s="45"/>
      <c r="AL688" s="45"/>
      <c r="AM688" s="43"/>
      <c r="AN688" s="43"/>
      <c r="AO688" s="43"/>
      <c r="AP688" s="43"/>
    </row>
    <row r="689" spans="2:42" x14ac:dyDescent="0.3">
      <c r="B689" s="39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AA689" s="39"/>
      <c r="AB689" s="40"/>
      <c r="AC689" s="40"/>
      <c r="AD689" s="40"/>
      <c r="AE689" s="40"/>
      <c r="AF689" s="40"/>
      <c r="AG689" s="40"/>
      <c r="AH689" s="40"/>
      <c r="AI689" s="40"/>
      <c r="AJ689" s="40"/>
      <c r="AK689" s="40"/>
    </row>
    <row r="690" spans="2:42" x14ac:dyDescent="0.3">
      <c r="B690" s="44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AA690" s="44"/>
      <c r="AB690" s="45"/>
      <c r="AC690" s="45"/>
      <c r="AD690" s="45"/>
      <c r="AE690" s="45"/>
      <c r="AF690" s="45"/>
      <c r="AG690" s="45"/>
      <c r="AH690" s="45"/>
      <c r="AI690" s="45"/>
      <c r="AJ690" s="45"/>
      <c r="AK690" s="45"/>
      <c r="AL690" s="45"/>
      <c r="AM690" s="43"/>
      <c r="AN690" s="43"/>
      <c r="AO690" s="43"/>
      <c r="AP690" s="43"/>
    </row>
    <row r="691" spans="2:42" x14ac:dyDescent="0.3">
      <c r="B691" s="39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AA691" s="39"/>
      <c r="AB691" s="40"/>
      <c r="AC691" s="40"/>
      <c r="AD691" s="40"/>
      <c r="AE691" s="40"/>
      <c r="AF691" s="40"/>
      <c r="AG691" s="40"/>
      <c r="AH691" s="40"/>
      <c r="AI691" s="40"/>
      <c r="AJ691" s="40"/>
      <c r="AK691" s="40"/>
    </row>
    <row r="692" spans="2:42" x14ac:dyDescent="0.3">
      <c r="B692" s="44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AA692" s="44"/>
      <c r="AB692" s="45"/>
      <c r="AC692" s="45"/>
      <c r="AD692" s="45"/>
      <c r="AE692" s="45"/>
      <c r="AF692" s="45"/>
      <c r="AG692" s="45"/>
      <c r="AH692" s="45"/>
      <c r="AI692" s="45"/>
      <c r="AJ692" s="45"/>
      <c r="AK692" s="45"/>
      <c r="AL692" s="45"/>
      <c r="AM692" s="43"/>
      <c r="AN692" s="43"/>
      <c r="AO692" s="43"/>
      <c r="AP692" s="43"/>
    </row>
    <row r="693" spans="2:42" x14ac:dyDescent="0.3">
      <c r="B693" s="39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AA693" s="39"/>
      <c r="AB693" s="40"/>
      <c r="AC693" s="40"/>
      <c r="AD693" s="40"/>
      <c r="AE693" s="40"/>
      <c r="AF693" s="40"/>
      <c r="AG693" s="40"/>
      <c r="AH693" s="40"/>
      <c r="AI693" s="40"/>
      <c r="AJ693" s="40"/>
      <c r="AK693" s="40"/>
    </row>
    <row r="694" spans="2:42" x14ac:dyDescent="0.3">
      <c r="B694" s="44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AA694" s="44"/>
      <c r="AB694" s="45"/>
      <c r="AC694" s="45"/>
      <c r="AD694" s="45"/>
      <c r="AE694" s="45"/>
      <c r="AF694" s="45"/>
      <c r="AG694" s="45"/>
      <c r="AH694" s="45"/>
      <c r="AI694" s="45"/>
      <c r="AJ694" s="45"/>
      <c r="AK694" s="45"/>
      <c r="AL694" s="45"/>
      <c r="AM694" s="43"/>
      <c r="AN694" s="43"/>
      <c r="AO694" s="43"/>
      <c r="AP694" s="43"/>
    </row>
    <row r="695" spans="2:42" x14ac:dyDescent="0.3">
      <c r="B695" s="39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AA695" s="39"/>
      <c r="AB695" s="40"/>
      <c r="AC695" s="40"/>
      <c r="AD695" s="40"/>
      <c r="AE695" s="40"/>
      <c r="AF695" s="40"/>
      <c r="AG695" s="40"/>
      <c r="AH695" s="40"/>
      <c r="AI695" s="40"/>
      <c r="AJ695" s="40"/>
      <c r="AK695" s="40"/>
    </row>
    <row r="696" spans="2:42" x14ac:dyDescent="0.3">
      <c r="B696" s="44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AA696" s="44"/>
      <c r="AB696" s="45"/>
      <c r="AC696" s="45"/>
      <c r="AD696" s="45"/>
      <c r="AE696" s="45"/>
      <c r="AF696" s="45"/>
      <c r="AG696" s="45"/>
      <c r="AH696" s="45"/>
      <c r="AI696" s="45"/>
      <c r="AJ696" s="45"/>
      <c r="AK696" s="45"/>
      <c r="AL696" s="45"/>
      <c r="AM696" s="43"/>
      <c r="AN696" s="43"/>
      <c r="AO696" s="43"/>
      <c r="AP696" s="43"/>
    </row>
    <row r="697" spans="2:42" x14ac:dyDescent="0.3">
      <c r="B697" s="39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AA697" s="39"/>
      <c r="AB697" s="40"/>
      <c r="AC697" s="40"/>
      <c r="AD697" s="40"/>
      <c r="AE697" s="40"/>
      <c r="AF697" s="40"/>
      <c r="AG697" s="40"/>
      <c r="AH697" s="40"/>
      <c r="AI697" s="40"/>
      <c r="AJ697" s="40"/>
      <c r="AK697" s="40"/>
    </row>
    <row r="698" spans="2:42" x14ac:dyDescent="0.3">
      <c r="B698" s="44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AA698" s="44"/>
      <c r="AB698" s="45"/>
      <c r="AC698" s="45"/>
      <c r="AD698" s="45"/>
      <c r="AE698" s="45"/>
      <c r="AF698" s="45"/>
      <c r="AG698" s="45"/>
      <c r="AH698" s="45"/>
      <c r="AI698" s="45"/>
      <c r="AJ698" s="45"/>
      <c r="AK698" s="45"/>
      <c r="AL698" s="45"/>
      <c r="AM698" s="43"/>
      <c r="AN698" s="43"/>
      <c r="AO698" s="43"/>
      <c r="AP698" s="43"/>
    </row>
    <row r="699" spans="2:42" x14ac:dyDescent="0.3">
      <c r="B699" s="39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AA699" s="39"/>
      <c r="AB699" s="40"/>
      <c r="AC699" s="40"/>
      <c r="AD699" s="40"/>
      <c r="AE699" s="40"/>
      <c r="AF699" s="40"/>
      <c r="AG699" s="40"/>
      <c r="AH699" s="40"/>
      <c r="AI699" s="40"/>
      <c r="AJ699" s="40"/>
      <c r="AK699" s="40"/>
    </row>
    <row r="700" spans="2:42" x14ac:dyDescent="0.3">
      <c r="B700" s="44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AA700" s="44"/>
      <c r="AB700" s="45"/>
      <c r="AC700" s="45"/>
      <c r="AD700" s="45"/>
      <c r="AE700" s="45"/>
      <c r="AF700" s="45"/>
      <c r="AG700" s="45"/>
      <c r="AH700" s="45"/>
      <c r="AI700" s="45"/>
      <c r="AJ700" s="45"/>
      <c r="AK700" s="45"/>
      <c r="AL700" s="45"/>
      <c r="AM700" s="43"/>
      <c r="AN700" s="43"/>
      <c r="AO700" s="43"/>
      <c r="AP700" s="43"/>
    </row>
    <row r="701" spans="2:42" x14ac:dyDescent="0.3">
      <c r="B701" s="39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AA701" s="39"/>
      <c r="AB701" s="40"/>
      <c r="AC701" s="40"/>
      <c r="AD701" s="40"/>
      <c r="AE701" s="40"/>
      <c r="AF701" s="40"/>
      <c r="AG701" s="40"/>
      <c r="AH701" s="40"/>
      <c r="AI701" s="40"/>
      <c r="AJ701" s="40"/>
      <c r="AK701" s="40"/>
    </row>
    <row r="702" spans="2:42" x14ac:dyDescent="0.3">
      <c r="B702" s="44"/>
      <c r="C702" s="45"/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AA702" s="44"/>
      <c r="AB702" s="45"/>
      <c r="AC702" s="45"/>
      <c r="AD702" s="45"/>
      <c r="AE702" s="45"/>
      <c r="AF702" s="45"/>
      <c r="AG702" s="45"/>
      <c r="AH702" s="45"/>
      <c r="AI702" s="45"/>
      <c r="AJ702" s="45"/>
      <c r="AK702" s="45"/>
      <c r="AL702" s="45"/>
      <c r="AM702" s="43"/>
      <c r="AN702" s="43"/>
      <c r="AO702" s="43"/>
      <c r="AP702" s="43"/>
    </row>
    <row r="703" spans="2:42" x14ac:dyDescent="0.3">
      <c r="B703" s="39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AA703" s="39"/>
      <c r="AB703" s="40"/>
      <c r="AC703" s="40"/>
      <c r="AD703" s="40"/>
      <c r="AE703" s="40"/>
      <c r="AF703" s="40"/>
      <c r="AG703" s="40"/>
      <c r="AH703" s="40"/>
      <c r="AI703" s="40"/>
      <c r="AJ703" s="40"/>
      <c r="AK703" s="40"/>
    </row>
    <row r="704" spans="2:42" x14ac:dyDescent="0.3">
      <c r="B704" s="44"/>
      <c r="C704" s="45"/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AA704" s="44"/>
      <c r="AB704" s="45"/>
      <c r="AC704" s="45"/>
      <c r="AD704" s="45"/>
      <c r="AE704" s="45"/>
      <c r="AF704" s="45"/>
      <c r="AG704" s="45"/>
      <c r="AH704" s="45"/>
      <c r="AI704" s="45"/>
      <c r="AJ704" s="45"/>
      <c r="AK704" s="45"/>
      <c r="AL704" s="45"/>
      <c r="AM704" s="43"/>
      <c r="AN704" s="43"/>
      <c r="AO704" s="43"/>
      <c r="AP704" s="43"/>
    </row>
    <row r="705" spans="2:42" x14ac:dyDescent="0.3">
      <c r="B705" s="39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AA705" s="39"/>
      <c r="AB705" s="40"/>
      <c r="AC705" s="40"/>
      <c r="AD705" s="40"/>
      <c r="AE705" s="40"/>
      <c r="AF705" s="40"/>
      <c r="AG705" s="40"/>
      <c r="AH705" s="40"/>
      <c r="AI705" s="40"/>
      <c r="AJ705" s="40"/>
      <c r="AK705" s="40"/>
    </row>
    <row r="706" spans="2:42" x14ac:dyDescent="0.3">
      <c r="B706" s="44"/>
      <c r="C706" s="45"/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AA706" s="44"/>
      <c r="AB706" s="45"/>
      <c r="AC706" s="45"/>
      <c r="AD706" s="45"/>
      <c r="AE706" s="45"/>
      <c r="AF706" s="45"/>
      <c r="AG706" s="45"/>
      <c r="AH706" s="45"/>
      <c r="AI706" s="45"/>
      <c r="AJ706" s="45"/>
      <c r="AK706" s="45"/>
      <c r="AL706" s="45"/>
      <c r="AM706" s="43"/>
      <c r="AN706" s="43"/>
      <c r="AO706" s="43"/>
      <c r="AP706" s="43"/>
    </row>
    <row r="707" spans="2:42" x14ac:dyDescent="0.3">
      <c r="B707" s="39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AA707" s="39"/>
      <c r="AB707" s="40"/>
      <c r="AC707" s="40"/>
      <c r="AD707" s="40"/>
      <c r="AE707" s="40"/>
      <c r="AF707" s="40"/>
      <c r="AG707" s="40"/>
      <c r="AH707" s="40"/>
      <c r="AI707" s="40"/>
      <c r="AJ707" s="40"/>
      <c r="AK707" s="40"/>
    </row>
    <row r="708" spans="2:42" x14ac:dyDescent="0.3">
      <c r="B708" s="44"/>
      <c r="C708" s="45"/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AA708" s="44"/>
      <c r="AB708" s="45"/>
      <c r="AC708" s="45"/>
      <c r="AD708" s="45"/>
      <c r="AE708" s="45"/>
      <c r="AF708" s="45"/>
      <c r="AG708" s="45"/>
      <c r="AH708" s="45"/>
      <c r="AI708" s="45"/>
      <c r="AJ708" s="45"/>
      <c r="AK708" s="45"/>
      <c r="AL708" s="45"/>
      <c r="AM708" s="43"/>
      <c r="AN708" s="43"/>
      <c r="AO708" s="43"/>
      <c r="AP708" s="43"/>
    </row>
    <row r="709" spans="2:42" x14ac:dyDescent="0.3">
      <c r="B709" s="39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AA709" s="39"/>
      <c r="AB709" s="40"/>
      <c r="AC709" s="40"/>
      <c r="AD709" s="40"/>
      <c r="AE709" s="40"/>
      <c r="AF709" s="40"/>
      <c r="AG709" s="40"/>
      <c r="AH709" s="40"/>
      <c r="AI709" s="40"/>
      <c r="AJ709" s="40"/>
      <c r="AK709" s="40"/>
    </row>
    <row r="710" spans="2:42" x14ac:dyDescent="0.3">
      <c r="B710" s="44"/>
      <c r="C710" s="45"/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AA710" s="44"/>
      <c r="AB710" s="45"/>
      <c r="AC710" s="45"/>
      <c r="AD710" s="45"/>
      <c r="AE710" s="45"/>
      <c r="AF710" s="45"/>
      <c r="AG710" s="45"/>
      <c r="AH710" s="45"/>
      <c r="AI710" s="45"/>
      <c r="AJ710" s="45"/>
      <c r="AK710" s="45"/>
      <c r="AL710" s="45"/>
      <c r="AM710" s="43"/>
      <c r="AN710" s="43"/>
      <c r="AO710" s="43"/>
      <c r="AP710" s="43"/>
    </row>
    <row r="711" spans="2:42" x14ac:dyDescent="0.3">
      <c r="B711" s="39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AA711" s="39"/>
      <c r="AB711" s="40"/>
      <c r="AC711" s="40"/>
      <c r="AD711" s="40"/>
      <c r="AE711" s="40"/>
      <c r="AF711" s="40"/>
      <c r="AG711" s="40"/>
      <c r="AH711" s="40"/>
      <c r="AI711" s="40"/>
      <c r="AJ711" s="40"/>
      <c r="AK711" s="40"/>
    </row>
    <row r="712" spans="2:42" x14ac:dyDescent="0.3">
      <c r="B712" s="44"/>
      <c r="C712" s="45"/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AA712" s="44"/>
      <c r="AB712" s="45"/>
      <c r="AC712" s="45"/>
      <c r="AD712" s="45"/>
      <c r="AE712" s="45"/>
      <c r="AF712" s="45"/>
      <c r="AG712" s="45"/>
      <c r="AH712" s="45"/>
      <c r="AI712" s="45"/>
      <c r="AJ712" s="45"/>
      <c r="AK712" s="45"/>
      <c r="AL712" s="45"/>
      <c r="AM712" s="43"/>
      <c r="AN712" s="43"/>
      <c r="AO712" s="43"/>
      <c r="AP712" s="43"/>
    </row>
    <row r="713" spans="2:42" x14ac:dyDescent="0.3">
      <c r="B713" s="39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AA713" s="39"/>
      <c r="AB713" s="40"/>
      <c r="AC713" s="40"/>
      <c r="AD713" s="40"/>
      <c r="AE713" s="40"/>
      <c r="AF713" s="40"/>
      <c r="AG713" s="40"/>
      <c r="AH713" s="40"/>
      <c r="AI713" s="40"/>
      <c r="AJ713" s="40"/>
      <c r="AK713" s="40"/>
    </row>
    <row r="714" spans="2:42" x14ac:dyDescent="0.3">
      <c r="B714" s="44"/>
      <c r="C714" s="45"/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AA714" s="44"/>
      <c r="AB714" s="45"/>
      <c r="AC714" s="45"/>
      <c r="AD714" s="45"/>
      <c r="AE714" s="45"/>
      <c r="AF714" s="45"/>
      <c r="AG714" s="45"/>
      <c r="AH714" s="45"/>
      <c r="AI714" s="45"/>
      <c r="AJ714" s="45"/>
      <c r="AK714" s="45"/>
      <c r="AL714" s="45"/>
      <c r="AM714" s="43"/>
      <c r="AN714" s="43"/>
      <c r="AO714" s="43"/>
      <c r="AP714" s="43"/>
    </row>
    <row r="715" spans="2:42" x14ac:dyDescent="0.3">
      <c r="B715" s="39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AA715" s="39"/>
      <c r="AB715" s="40"/>
      <c r="AC715" s="40"/>
      <c r="AD715" s="40"/>
      <c r="AE715" s="40"/>
      <c r="AF715" s="40"/>
      <c r="AG715" s="40"/>
      <c r="AH715" s="40"/>
      <c r="AI715" s="40"/>
      <c r="AJ715" s="40"/>
      <c r="AK715" s="40"/>
    </row>
    <row r="716" spans="2:42" x14ac:dyDescent="0.3">
      <c r="B716" s="44"/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AA716" s="44"/>
      <c r="AB716" s="45"/>
      <c r="AC716" s="45"/>
      <c r="AD716" s="45"/>
      <c r="AE716" s="45"/>
      <c r="AF716" s="45"/>
      <c r="AG716" s="45"/>
      <c r="AH716" s="45"/>
      <c r="AI716" s="45"/>
      <c r="AJ716" s="45"/>
      <c r="AK716" s="45"/>
      <c r="AL716" s="45"/>
      <c r="AM716" s="43"/>
      <c r="AN716" s="43"/>
      <c r="AO716" s="43"/>
      <c r="AP716" s="43"/>
    </row>
    <row r="717" spans="2:42" x14ac:dyDescent="0.3">
      <c r="B717" s="39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AA717" s="39"/>
      <c r="AB717" s="40"/>
      <c r="AC717" s="40"/>
      <c r="AD717" s="40"/>
      <c r="AE717" s="40"/>
      <c r="AF717" s="40"/>
      <c r="AG717" s="40"/>
      <c r="AH717" s="40"/>
      <c r="AI717" s="40"/>
      <c r="AJ717" s="40"/>
      <c r="AK717" s="40"/>
    </row>
    <row r="718" spans="2:42" x14ac:dyDescent="0.3">
      <c r="B718" s="44"/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AA718" s="44"/>
      <c r="AB718" s="45"/>
      <c r="AC718" s="45"/>
      <c r="AD718" s="45"/>
      <c r="AE718" s="45"/>
      <c r="AF718" s="45"/>
      <c r="AG718" s="45"/>
      <c r="AH718" s="45"/>
      <c r="AI718" s="45"/>
      <c r="AJ718" s="45"/>
      <c r="AK718" s="45"/>
      <c r="AL718" s="45"/>
      <c r="AM718" s="43"/>
      <c r="AN718" s="43"/>
      <c r="AO718" s="43"/>
      <c r="AP718" s="43"/>
    </row>
    <row r="719" spans="2:42" x14ac:dyDescent="0.3">
      <c r="B719" s="39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AA719" s="39"/>
      <c r="AB719" s="40"/>
      <c r="AC719" s="40"/>
      <c r="AD719" s="40"/>
      <c r="AE719" s="40"/>
      <c r="AF719" s="40"/>
      <c r="AG719" s="40"/>
      <c r="AH719" s="40"/>
      <c r="AI719" s="40"/>
      <c r="AJ719" s="40"/>
      <c r="AK719" s="40"/>
    </row>
    <row r="720" spans="2:42" x14ac:dyDescent="0.3">
      <c r="B720" s="44"/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AA720" s="44"/>
      <c r="AB720" s="45"/>
      <c r="AC720" s="45"/>
      <c r="AD720" s="45"/>
      <c r="AE720" s="45"/>
      <c r="AF720" s="45"/>
      <c r="AG720" s="45"/>
      <c r="AH720" s="45"/>
      <c r="AI720" s="45"/>
      <c r="AJ720" s="45"/>
      <c r="AK720" s="45"/>
      <c r="AL720" s="45"/>
      <c r="AM720" s="43"/>
      <c r="AN720" s="43"/>
      <c r="AO720" s="43"/>
      <c r="AP720" s="43"/>
    </row>
    <row r="721" spans="2:42" x14ac:dyDescent="0.3">
      <c r="B721" s="39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AA721" s="39"/>
      <c r="AB721" s="40"/>
      <c r="AC721" s="40"/>
      <c r="AD721" s="40"/>
      <c r="AE721" s="40"/>
      <c r="AF721" s="40"/>
      <c r="AG721" s="40"/>
      <c r="AH721" s="40"/>
      <c r="AI721" s="40"/>
      <c r="AJ721" s="40"/>
      <c r="AK721" s="40"/>
    </row>
    <row r="722" spans="2:42" x14ac:dyDescent="0.3">
      <c r="B722" s="44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AA722" s="44"/>
      <c r="AB722" s="45"/>
      <c r="AC722" s="45"/>
      <c r="AD722" s="45"/>
      <c r="AE722" s="45"/>
      <c r="AF722" s="45"/>
      <c r="AG722" s="45"/>
      <c r="AH722" s="45"/>
      <c r="AI722" s="45"/>
      <c r="AJ722" s="45"/>
      <c r="AK722" s="45"/>
      <c r="AL722" s="45"/>
      <c r="AM722" s="43"/>
      <c r="AN722" s="43"/>
      <c r="AO722" s="43"/>
      <c r="AP722" s="43"/>
    </row>
    <row r="723" spans="2:42" x14ac:dyDescent="0.3">
      <c r="B723" s="39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AA723" s="39"/>
      <c r="AB723" s="40"/>
      <c r="AC723" s="40"/>
      <c r="AD723" s="40"/>
      <c r="AE723" s="40"/>
      <c r="AF723" s="40"/>
      <c r="AG723" s="40"/>
      <c r="AH723" s="40"/>
      <c r="AI723" s="40"/>
      <c r="AJ723" s="40"/>
      <c r="AK723" s="40"/>
    </row>
    <row r="724" spans="2:42" x14ac:dyDescent="0.3">
      <c r="B724" s="44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AA724" s="44"/>
      <c r="AB724" s="45"/>
      <c r="AC724" s="45"/>
      <c r="AD724" s="45"/>
      <c r="AE724" s="45"/>
      <c r="AF724" s="45"/>
      <c r="AG724" s="45"/>
      <c r="AH724" s="45"/>
      <c r="AI724" s="45"/>
      <c r="AJ724" s="45"/>
      <c r="AK724" s="45"/>
      <c r="AL724" s="45"/>
      <c r="AM724" s="43"/>
      <c r="AN724" s="43"/>
      <c r="AO724" s="43"/>
      <c r="AP724" s="43"/>
    </row>
    <row r="725" spans="2:42" x14ac:dyDescent="0.3">
      <c r="B725" s="39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AA725" s="39"/>
      <c r="AB725" s="40"/>
      <c r="AC725" s="40"/>
      <c r="AD725" s="40"/>
      <c r="AE725" s="40"/>
      <c r="AF725" s="40"/>
      <c r="AG725" s="40"/>
      <c r="AH725" s="40"/>
      <c r="AI725" s="40"/>
      <c r="AJ725" s="40"/>
      <c r="AK725" s="40"/>
    </row>
    <row r="726" spans="2:42" x14ac:dyDescent="0.3">
      <c r="B726" s="44"/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AA726" s="44"/>
      <c r="AB726" s="45"/>
      <c r="AC726" s="45"/>
      <c r="AD726" s="45"/>
      <c r="AE726" s="45"/>
      <c r="AF726" s="45"/>
      <c r="AG726" s="45"/>
      <c r="AH726" s="45"/>
      <c r="AI726" s="45"/>
      <c r="AJ726" s="45"/>
      <c r="AK726" s="45"/>
      <c r="AL726" s="45"/>
      <c r="AM726" s="43"/>
      <c r="AN726" s="43"/>
      <c r="AO726" s="43"/>
      <c r="AP726" s="43"/>
    </row>
    <row r="727" spans="2:42" x14ac:dyDescent="0.3">
      <c r="B727" s="39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AA727" s="39"/>
      <c r="AB727" s="40"/>
      <c r="AC727" s="40"/>
      <c r="AD727" s="40"/>
      <c r="AE727" s="40"/>
      <c r="AF727" s="40"/>
      <c r="AG727" s="40"/>
      <c r="AH727" s="40"/>
      <c r="AI727" s="40"/>
      <c r="AJ727" s="40"/>
      <c r="AK727" s="40"/>
    </row>
    <row r="728" spans="2:42" x14ac:dyDescent="0.3">
      <c r="B728" s="44"/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AA728" s="44"/>
      <c r="AB728" s="45"/>
      <c r="AC728" s="45"/>
      <c r="AD728" s="45"/>
      <c r="AE728" s="45"/>
      <c r="AF728" s="45"/>
      <c r="AG728" s="45"/>
      <c r="AH728" s="45"/>
      <c r="AI728" s="45"/>
      <c r="AJ728" s="45"/>
      <c r="AK728" s="45"/>
      <c r="AL728" s="45"/>
      <c r="AM728" s="43"/>
      <c r="AN728" s="43"/>
      <c r="AO728" s="43"/>
      <c r="AP728" s="43"/>
    </row>
    <row r="729" spans="2:42" x14ac:dyDescent="0.3">
      <c r="B729" s="39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AA729" s="39"/>
      <c r="AB729" s="40"/>
      <c r="AC729" s="40"/>
      <c r="AD729" s="40"/>
      <c r="AE729" s="40"/>
      <c r="AF729" s="40"/>
      <c r="AG729" s="40"/>
      <c r="AH729" s="40"/>
      <c r="AI729" s="40"/>
      <c r="AJ729" s="40"/>
      <c r="AK729" s="40"/>
    </row>
    <row r="730" spans="2:42" x14ac:dyDescent="0.3">
      <c r="B730" s="44"/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AA730" s="44"/>
      <c r="AB730" s="45"/>
      <c r="AC730" s="45"/>
      <c r="AD730" s="45"/>
      <c r="AE730" s="45"/>
      <c r="AF730" s="45"/>
      <c r="AG730" s="45"/>
      <c r="AH730" s="45"/>
      <c r="AI730" s="45"/>
      <c r="AJ730" s="45"/>
      <c r="AK730" s="45"/>
      <c r="AL730" s="45"/>
      <c r="AM730" s="43"/>
      <c r="AN730" s="43"/>
      <c r="AO730" s="43"/>
      <c r="AP730" s="43"/>
    </row>
    <row r="731" spans="2:42" x14ac:dyDescent="0.3">
      <c r="B731" s="39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AA731" s="39"/>
      <c r="AB731" s="40"/>
      <c r="AC731" s="40"/>
      <c r="AD731" s="40"/>
      <c r="AE731" s="40"/>
      <c r="AF731" s="40"/>
      <c r="AG731" s="40"/>
      <c r="AH731" s="40"/>
      <c r="AI731" s="40"/>
      <c r="AJ731" s="40"/>
      <c r="AK731" s="40"/>
    </row>
    <row r="732" spans="2:42" x14ac:dyDescent="0.3">
      <c r="B732" s="44"/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AA732" s="44"/>
      <c r="AB732" s="45"/>
      <c r="AC732" s="45"/>
      <c r="AD732" s="45"/>
      <c r="AE732" s="45"/>
      <c r="AF732" s="45"/>
      <c r="AG732" s="45"/>
      <c r="AH732" s="45"/>
      <c r="AI732" s="45"/>
      <c r="AJ732" s="45"/>
      <c r="AK732" s="45"/>
      <c r="AL732" s="45"/>
      <c r="AM732" s="43"/>
      <c r="AN732" s="43"/>
      <c r="AO732" s="43"/>
      <c r="AP732" s="43"/>
    </row>
    <row r="733" spans="2:42" x14ac:dyDescent="0.3">
      <c r="B733" s="39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AA733" s="39"/>
      <c r="AB733" s="40"/>
      <c r="AC733" s="40"/>
      <c r="AD733" s="40"/>
      <c r="AE733" s="40"/>
      <c r="AF733" s="40"/>
      <c r="AG733" s="40"/>
      <c r="AH733" s="40"/>
      <c r="AI733" s="40"/>
      <c r="AJ733" s="40"/>
      <c r="AK733" s="40"/>
    </row>
    <row r="734" spans="2:42" x14ac:dyDescent="0.3">
      <c r="B734" s="44"/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AA734" s="44"/>
      <c r="AB734" s="45"/>
      <c r="AC734" s="45"/>
      <c r="AD734" s="45"/>
      <c r="AE734" s="45"/>
      <c r="AF734" s="45"/>
      <c r="AG734" s="45"/>
      <c r="AH734" s="45"/>
      <c r="AI734" s="45"/>
      <c r="AJ734" s="45"/>
      <c r="AK734" s="45"/>
      <c r="AL734" s="45"/>
      <c r="AM734" s="43"/>
      <c r="AN734" s="43"/>
      <c r="AO734" s="43"/>
      <c r="AP734" s="43"/>
    </row>
    <row r="735" spans="2:42" x14ac:dyDescent="0.3">
      <c r="B735" s="39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AA735" s="39"/>
      <c r="AB735" s="40"/>
      <c r="AC735" s="40"/>
      <c r="AD735" s="40"/>
      <c r="AE735" s="40"/>
      <c r="AF735" s="40"/>
      <c r="AG735" s="40"/>
      <c r="AH735" s="40"/>
      <c r="AI735" s="40"/>
      <c r="AJ735" s="40"/>
      <c r="AK735" s="40"/>
    </row>
    <row r="736" spans="2:42" x14ac:dyDescent="0.3">
      <c r="B736" s="44"/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AA736" s="44"/>
      <c r="AB736" s="45"/>
      <c r="AC736" s="45"/>
      <c r="AD736" s="45"/>
      <c r="AE736" s="45"/>
      <c r="AF736" s="45"/>
      <c r="AG736" s="45"/>
      <c r="AH736" s="45"/>
      <c r="AI736" s="45"/>
      <c r="AJ736" s="45"/>
      <c r="AK736" s="45"/>
      <c r="AL736" s="45"/>
      <c r="AM736" s="43"/>
      <c r="AN736" s="43"/>
      <c r="AO736" s="43"/>
      <c r="AP736" s="43"/>
    </row>
    <row r="737" spans="2:42" x14ac:dyDescent="0.3">
      <c r="B737" s="39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AA737" s="39"/>
      <c r="AB737" s="40"/>
      <c r="AC737" s="40"/>
      <c r="AD737" s="40"/>
      <c r="AE737" s="40"/>
      <c r="AF737" s="40"/>
      <c r="AG737" s="40"/>
      <c r="AH737" s="40"/>
      <c r="AI737" s="40"/>
      <c r="AJ737" s="40"/>
      <c r="AK737" s="40"/>
    </row>
    <row r="738" spans="2:42" x14ac:dyDescent="0.3">
      <c r="B738" s="44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AA738" s="44"/>
      <c r="AB738" s="45"/>
      <c r="AC738" s="45"/>
      <c r="AD738" s="45"/>
      <c r="AE738" s="45"/>
      <c r="AF738" s="45"/>
      <c r="AG738" s="45"/>
      <c r="AH738" s="45"/>
      <c r="AI738" s="45"/>
      <c r="AJ738" s="45"/>
      <c r="AK738" s="45"/>
      <c r="AL738" s="45"/>
      <c r="AM738" s="43"/>
      <c r="AN738" s="43"/>
      <c r="AO738" s="43"/>
      <c r="AP738" s="43"/>
    </row>
    <row r="739" spans="2:42" x14ac:dyDescent="0.3">
      <c r="B739" s="39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AA739" s="39"/>
      <c r="AB739" s="40"/>
      <c r="AC739" s="40"/>
      <c r="AD739" s="40"/>
      <c r="AE739" s="40"/>
      <c r="AF739" s="40"/>
      <c r="AG739" s="40"/>
      <c r="AH739" s="40"/>
      <c r="AI739" s="40"/>
      <c r="AJ739" s="40"/>
      <c r="AK739" s="40"/>
    </row>
    <row r="740" spans="2:42" x14ac:dyDescent="0.3">
      <c r="B740" s="44"/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AA740" s="44"/>
      <c r="AB740" s="45"/>
      <c r="AC740" s="45"/>
      <c r="AD740" s="45"/>
      <c r="AE740" s="45"/>
      <c r="AF740" s="45"/>
      <c r="AG740" s="45"/>
      <c r="AH740" s="45"/>
      <c r="AI740" s="45"/>
      <c r="AJ740" s="45"/>
      <c r="AK740" s="45"/>
      <c r="AL740" s="45"/>
      <c r="AM740" s="43"/>
      <c r="AN740" s="43"/>
      <c r="AO740" s="43"/>
      <c r="AP740" s="43"/>
    </row>
    <row r="741" spans="2:42" x14ac:dyDescent="0.3">
      <c r="B741" s="39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AA741" s="39"/>
      <c r="AB741" s="40"/>
      <c r="AC741" s="40"/>
      <c r="AD741" s="40"/>
      <c r="AE741" s="40"/>
      <c r="AF741" s="40"/>
      <c r="AG741" s="40"/>
      <c r="AH741" s="40"/>
      <c r="AI741" s="40"/>
      <c r="AJ741" s="40"/>
      <c r="AK741" s="40"/>
    </row>
    <row r="742" spans="2:42" x14ac:dyDescent="0.3">
      <c r="B742" s="44"/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AA742" s="44"/>
      <c r="AB742" s="45"/>
      <c r="AC742" s="45"/>
      <c r="AD742" s="45"/>
      <c r="AE742" s="45"/>
      <c r="AF742" s="45"/>
      <c r="AG742" s="45"/>
      <c r="AH742" s="45"/>
      <c r="AI742" s="45"/>
      <c r="AJ742" s="45"/>
      <c r="AK742" s="45"/>
      <c r="AL742" s="45"/>
      <c r="AM742" s="43"/>
      <c r="AN742" s="43"/>
      <c r="AO742" s="43"/>
      <c r="AP742" s="43"/>
    </row>
    <row r="743" spans="2:42" x14ac:dyDescent="0.3">
      <c r="B743" s="39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AA743" s="39"/>
      <c r="AB743" s="40"/>
      <c r="AC743" s="40"/>
      <c r="AD743" s="40"/>
      <c r="AE743" s="40"/>
      <c r="AF743" s="40"/>
      <c r="AG743" s="40"/>
      <c r="AH743" s="40"/>
      <c r="AI743" s="40"/>
      <c r="AJ743" s="40"/>
      <c r="AK743" s="40"/>
    </row>
    <row r="744" spans="2:42" x14ac:dyDescent="0.3">
      <c r="B744" s="44"/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AA744" s="44"/>
      <c r="AB744" s="45"/>
      <c r="AC744" s="45"/>
      <c r="AD744" s="45"/>
      <c r="AE744" s="45"/>
      <c r="AF744" s="45"/>
      <c r="AG744" s="45"/>
      <c r="AH744" s="45"/>
      <c r="AI744" s="45"/>
      <c r="AJ744" s="45"/>
      <c r="AK744" s="45"/>
      <c r="AL744" s="45"/>
      <c r="AM744" s="43"/>
      <c r="AN744" s="43"/>
      <c r="AO744" s="43"/>
      <c r="AP744" s="43"/>
    </row>
    <row r="745" spans="2:42" x14ac:dyDescent="0.3">
      <c r="B745" s="39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AA745" s="39"/>
      <c r="AB745" s="40"/>
      <c r="AC745" s="40"/>
      <c r="AD745" s="40"/>
      <c r="AE745" s="40"/>
      <c r="AF745" s="40"/>
      <c r="AG745" s="40"/>
      <c r="AH745" s="40"/>
      <c r="AI745" s="40"/>
      <c r="AJ745" s="40"/>
      <c r="AK745" s="40"/>
    </row>
    <row r="746" spans="2:42" x14ac:dyDescent="0.3">
      <c r="B746" s="44"/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AA746" s="44"/>
      <c r="AB746" s="45"/>
      <c r="AC746" s="45"/>
      <c r="AD746" s="45"/>
      <c r="AE746" s="45"/>
      <c r="AF746" s="45"/>
      <c r="AG746" s="45"/>
      <c r="AH746" s="45"/>
      <c r="AI746" s="45"/>
      <c r="AJ746" s="45"/>
      <c r="AK746" s="45"/>
      <c r="AL746" s="45"/>
      <c r="AM746" s="43"/>
      <c r="AN746" s="43"/>
      <c r="AO746" s="43"/>
      <c r="AP746" s="43"/>
    </row>
    <row r="747" spans="2:42" x14ac:dyDescent="0.3">
      <c r="B747" s="39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AA747" s="39"/>
      <c r="AB747" s="40"/>
      <c r="AC747" s="40"/>
      <c r="AD747" s="40"/>
      <c r="AE747" s="40"/>
      <c r="AF747" s="40"/>
      <c r="AG747" s="40"/>
      <c r="AH747" s="40"/>
      <c r="AI747" s="40"/>
      <c r="AJ747" s="40"/>
      <c r="AK747" s="40"/>
    </row>
    <row r="748" spans="2:42" x14ac:dyDescent="0.3">
      <c r="B748" s="44"/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AA748" s="44"/>
      <c r="AB748" s="45"/>
      <c r="AC748" s="45"/>
      <c r="AD748" s="45"/>
      <c r="AE748" s="45"/>
      <c r="AF748" s="45"/>
      <c r="AG748" s="45"/>
      <c r="AH748" s="45"/>
      <c r="AI748" s="45"/>
      <c r="AJ748" s="45"/>
      <c r="AK748" s="45"/>
      <c r="AL748" s="45"/>
      <c r="AM748" s="43"/>
      <c r="AN748" s="43"/>
      <c r="AO748" s="43"/>
      <c r="AP748" s="43"/>
    </row>
    <row r="749" spans="2:42" x14ac:dyDescent="0.3">
      <c r="B749" s="39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AA749" s="39"/>
      <c r="AB749" s="40"/>
      <c r="AC749" s="40"/>
      <c r="AD749" s="40"/>
      <c r="AE749" s="40"/>
      <c r="AF749" s="40"/>
      <c r="AG749" s="40"/>
      <c r="AH749" s="40"/>
      <c r="AI749" s="40"/>
      <c r="AJ749" s="40"/>
      <c r="AK749" s="40"/>
    </row>
    <row r="750" spans="2:42" x14ac:dyDescent="0.3">
      <c r="B750" s="44"/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AA750" s="44"/>
      <c r="AB750" s="45"/>
      <c r="AC750" s="45"/>
      <c r="AD750" s="45"/>
      <c r="AE750" s="45"/>
      <c r="AF750" s="45"/>
      <c r="AG750" s="45"/>
      <c r="AH750" s="45"/>
      <c r="AI750" s="45"/>
      <c r="AJ750" s="45"/>
      <c r="AK750" s="45"/>
      <c r="AL750" s="45"/>
      <c r="AM750" s="43"/>
      <c r="AN750" s="43"/>
      <c r="AO750" s="43"/>
      <c r="AP750" s="43"/>
    </row>
    <row r="751" spans="2:42" x14ac:dyDescent="0.3">
      <c r="B751" s="39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AA751" s="39"/>
      <c r="AB751" s="40"/>
      <c r="AC751" s="40"/>
      <c r="AD751" s="40"/>
      <c r="AE751" s="40"/>
      <c r="AF751" s="40"/>
      <c r="AG751" s="40"/>
      <c r="AH751" s="40"/>
      <c r="AI751" s="40"/>
      <c r="AJ751" s="40"/>
      <c r="AK751" s="40"/>
    </row>
    <row r="752" spans="2:42" x14ac:dyDescent="0.3">
      <c r="B752" s="44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AA752" s="44"/>
      <c r="AB752" s="45"/>
      <c r="AC752" s="45"/>
      <c r="AD752" s="45"/>
      <c r="AE752" s="45"/>
      <c r="AF752" s="45"/>
      <c r="AG752" s="45"/>
      <c r="AH752" s="45"/>
      <c r="AI752" s="45"/>
      <c r="AJ752" s="45"/>
      <c r="AK752" s="45"/>
      <c r="AL752" s="45"/>
      <c r="AM752" s="43"/>
      <c r="AN752" s="43"/>
      <c r="AO752" s="43"/>
      <c r="AP752" s="43"/>
    </row>
    <row r="753" spans="2:42" x14ac:dyDescent="0.3">
      <c r="B753" s="39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AA753" s="39"/>
      <c r="AB753" s="40"/>
      <c r="AC753" s="40"/>
      <c r="AD753" s="40"/>
      <c r="AE753" s="40"/>
      <c r="AF753" s="40"/>
      <c r="AG753" s="40"/>
      <c r="AH753" s="40"/>
      <c r="AI753" s="40"/>
      <c r="AJ753" s="40"/>
      <c r="AK753" s="40"/>
    </row>
    <row r="754" spans="2:42" x14ac:dyDescent="0.3">
      <c r="B754" s="44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AA754" s="44"/>
      <c r="AB754" s="45"/>
      <c r="AC754" s="45"/>
      <c r="AD754" s="45"/>
      <c r="AE754" s="45"/>
      <c r="AF754" s="45"/>
      <c r="AG754" s="45"/>
      <c r="AH754" s="45"/>
      <c r="AI754" s="45"/>
      <c r="AJ754" s="45"/>
      <c r="AK754" s="45"/>
      <c r="AL754" s="45"/>
      <c r="AM754" s="43"/>
      <c r="AN754" s="43"/>
      <c r="AO754" s="43"/>
      <c r="AP754" s="43"/>
    </row>
    <row r="755" spans="2:42" x14ac:dyDescent="0.3">
      <c r="B755" s="39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AA755" s="39"/>
      <c r="AB755" s="40"/>
      <c r="AC755" s="40"/>
      <c r="AD755" s="40"/>
      <c r="AE755" s="40"/>
      <c r="AF755" s="40"/>
      <c r="AG755" s="40"/>
      <c r="AH755" s="40"/>
      <c r="AI755" s="40"/>
      <c r="AJ755" s="40"/>
      <c r="AK755" s="40"/>
    </row>
    <row r="756" spans="2:42" x14ac:dyDescent="0.3">
      <c r="B756" s="44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AA756" s="44"/>
      <c r="AB756" s="45"/>
      <c r="AC756" s="45"/>
      <c r="AD756" s="45"/>
      <c r="AE756" s="45"/>
      <c r="AF756" s="45"/>
      <c r="AG756" s="45"/>
      <c r="AH756" s="45"/>
      <c r="AI756" s="45"/>
      <c r="AJ756" s="45"/>
      <c r="AK756" s="45"/>
      <c r="AL756" s="45"/>
      <c r="AM756" s="43"/>
      <c r="AN756" s="43"/>
      <c r="AO756" s="43"/>
      <c r="AP756" s="43"/>
    </row>
    <row r="757" spans="2:42" x14ac:dyDescent="0.3">
      <c r="B757" s="39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AA757" s="39"/>
      <c r="AB757" s="40"/>
      <c r="AC757" s="40"/>
      <c r="AD757" s="40"/>
      <c r="AE757" s="40"/>
      <c r="AF757" s="40"/>
      <c r="AG757" s="40"/>
      <c r="AH757" s="40"/>
      <c r="AI757" s="40"/>
      <c r="AJ757" s="40"/>
      <c r="AK757" s="40"/>
    </row>
    <row r="758" spans="2:42" x14ac:dyDescent="0.3">
      <c r="B758" s="44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AA758" s="44"/>
      <c r="AB758" s="45"/>
      <c r="AC758" s="45"/>
      <c r="AD758" s="45"/>
      <c r="AE758" s="45"/>
      <c r="AF758" s="45"/>
      <c r="AG758" s="45"/>
      <c r="AH758" s="45"/>
      <c r="AI758" s="45"/>
      <c r="AJ758" s="45"/>
      <c r="AK758" s="45"/>
      <c r="AL758" s="45"/>
      <c r="AM758" s="43"/>
      <c r="AN758" s="43"/>
      <c r="AO758" s="43"/>
      <c r="AP758" s="43"/>
    </row>
    <row r="759" spans="2:42" x14ac:dyDescent="0.3">
      <c r="B759" s="39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AA759" s="39"/>
      <c r="AB759" s="40"/>
      <c r="AC759" s="40"/>
      <c r="AD759" s="40"/>
      <c r="AE759" s="40"/>
      <c r="AF759" s="40"/>
      <c r="AG759" s="40"/>
      <c r="AH759" s="40"/>
      <c r="AI759" s="40"/>
      <c r="AJ759" s="40"/>
      <c r="AK759" s="40"/>
    </row>
    <row r="760" spans="2:42" x14ac:dyDescent="0.3">
      <c r="B760" s="44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AA760" s="44"/>
      <c r="AB760" s="45"/>
      <c r="AC760" s="45"/>
      <c r="AD760" s="45"/>
      <c r="AE760" s="45"/>
      <c r="AF760" s="45"/>
      <c r="AG760" s="45"/>
      <c r="AH760" s="45"/>
      <c r="AI760" s="45"/>
      <c r="AJ760" s="45"/>
      <c r="AK760" s="45"/>
      <c r="AL760" s="45"/>
      <c r="AM760" s="43"/>
      <c r="AN760" s="43"/>
      <c r="AO760" s="43"/>
      <c r="AP760" s="43"/>
    </row>
    <row r="761" spans="2:42" x14ac:dyDescent="0.3">
      <c r="B761" s="39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AA761" s="39"/>
      <c r="AB761" s="40"/>
      <c r="AC761" s="40"/>
      <c r="AD761" s="40"/>
      <c r="AE761" s="40"/>
      <c r="AF761" s="40"/>
      <c r="AG761" s="40"/>
      <c r="AH761" s="40"/>
      <c r="AI761" s="40"/>
      <c r="AJ761" s="40"/>
      <c r="AK761" s="40"/>
    </row>
    <row r="762" spans="2:42" x14ac:dyDescent="0.3">
      <c r="B762" s="44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AA762" s="44"/>
      <c r="AB762" s="45"/>
      <c r="AC762" s="45"/>
      <c r="AD762" s="45"/>
      <c r="AE762" s="45"/>
      <c r="AF762" s="45"/>
      <c r="AG762" s="45"/>
      <c r="AH762" s="45"/>
      <c r="AI762" s="45"/>
      <c r="AJ762" s="45"/>
      <c r="AK762" s="45"/>
      <c r="AL762" s="45"/>
      <c r="AM762" s="43"/>
      <c r="AN762" s="43"/>
      <c r="AO762" s="43"/>
      <c r="AP762" s="43"/>
    </row>
    <row r="763" spans="2:42" x14ac:dyDescent="0.3">
      <c r="B763" s="39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AA763" s="39"/>
      <c r="AB763" s="40"/>
      <c r="AC763" s="40"/>
      <c r="AD763" s="40"/>
      <c r="AE763" s="40"/>
      <c r="AF763" s="40"/>
      <c r="AG763" s="40"/>
      <c r="AH763" s="40"/>
      <c r="AI763" s="40"/>
      <c r="AJ763" s="40"/>
      <c r="AK763" s="40"/>
    </row>
    <row r="764" spans="2:42" x14ac:dyDescent="0.3">
      <c r="B764" s="44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AA764" s="44"/>
      <c r="AB764" s="45"/>
      <c r="AC764" s="45"/>
      <c r="AD764" s="45"/>
      <c r="AE764" s="45"/>
      <c r="AF764" s="45"/>
      <c r="AG764" s="45"/>
      <c r="AH764" s="45"/>
      <c r="AI764" s="45"/>
      <c r="AJ764" s="45"/>
      <c r="AK764" s="45"/>
      <c r="AL764" s="45"/>
      <c r="AM764" s="43"/>
      <c r="AN764" s="43"/>
      <c r="AO764" s="43"/>
      <c r="AP764" s="43"/>
    </row>
    <row r="765" spans="2:42" x14ac:dyDescent="0.3">
      <c r="B765" s="39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AA765" s="39"/>
      <c r="AB765" s="40"/>
      <c r="AC765" s="40"/>
      <c r="AD765" s="40"/>
      <c r="AE765" s="40"/>
      <c r="AF765" s="40"/>
      <c r="AG765" s="40"/>
      <c r="AH765" s="40"/>
      <c r="AI765" s="40"/>
      <c r="AJ765" s="40"/>
      <c r="AK765" s="40"/>
    </row>
    <row r="766" spans="2:42" x14ac:dyDescent="0.3">
      <c r="B766" s="44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AA766" s="44"/>
      <c r="AB766" s="45"/>
      <c r="AC766" s="45"/>
      <c r="AD766" s="45"/>
      <c r="AE766" s="45"/>
      <c r="AF766" s="45"/>
      <c r="AG766" s="45"/>
      <c r="AH766" s="45"/>
      <c r="AI766" s="45"/>
      <c r="AJ766" s="45"/>
      <c r="AK766" s="45"/>
      <c r="AL766" s="45"/>
      <c r="AM766" s="43"/>
      <c r="AN766" s="43"/>
      <c r="AO766" s="43"/>
      <c r="AP766" s="43"/>
    </row>
    <row r="767" spans="2:42" x14ac:dyDescent="0.3">
      <c r="B767" s="39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AA767" s="39"/>
      <c r="AB767" s="40"/>
      <c r="AC767" s="40"/>
      <c r="AD767" s="40"/>
      <c r="AE767" s="40"/>
      <c r="AF767" s="40"/>
      <c r="AG767" s="40"/>
      <c r="AH767" s="40"/>
      <c r="AI767" s="40"/>
      <c r="AJ767" s="40"/>
      <c r="AK767" s="40"/>
    </row>
    <row r="768" spans="2:42" x14ac:dyDescent="0.3">
      <c r="B768" s="44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AA768" s="44"/>
      <c r="AB768" s="45"/>
      <c r="AC768" s="45"/>
      <c r="AD768" s="45"/>
      <c r="AE768" s="45"/>
      <c r="AF768" s="45"/>
      <c r="AG768" s="45"/>
      <c r="AH768" s="45"/>
      <c r="AI768" s="45"/>
      <c r="AJ768" s="45"/>
      <c r="AK768" s="45"/>
      <c r="AL768" s="45"/>
      <c r="AM768" s="43"/>
      <c r="AN768" s="43"/>
      <c r="AO768" s="43"/>
      <c r="AP768" s="43"/>
    </row>
    <row r="769" spans="2:42" x14ac:dyDescent="0.3">
      <c r="B769" s="39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AA769" s="39"/>
      <c r="AB769" s="40"/>
      <c r="AC769" s="40"/>
      <c r="AD769" s="40"/>
      <c r="AE769" s="40"/>
      <c r="AF769" s="40"/>
      <c r="AG769" s="40"/>
      <c r="AH769" s="40"/>
      <c r="AI769" s="40"/>
      <c r="AJ769" s="40"/>
      <c r="AK769" s="40"/>
    </row>
    <row r="770" spans="2:42" x14ac:dyDescent="0.3">
      <c r="B770" s="44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AA770" s="44"/>
      <c r="AB770" s="45"/>
      <c r="AC770" s="45"/>
      <c r="AD770" s="45"/>
      <c r="AE770" s="45"/>
      <c r="AF770" s="45"/>
      <c r="AG770" s="45"/>
      <c r="AH770" s="45"/>
      <c r="AI770" s="45"/>
      <c r="AJ770" s="45"/>
      <c r="AK770" s="45"/>
      <c r="AL770" s="45"/>
      <c r="AM770" s="43"/>
      <c r="AN770" s="43"/>
      <c r="AO770" s="43"/>
      <c r="AP770" s="43"/>
    </row>
    <row r="771" spans="2:42" x14ac:dyDescent="0.3">
      <c r="B771" s="39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AA771" s="39"/>
      <c r="AB771" s="40"/>
      <c r="AC771" s="40"/>
      <c r="AD771" s="40"/>
      <c r="AE771" s="40"/>
      <c r="AF771" s="40"/>
      <c r="AG771" s="40"/>
      <c r="AH771" s="40"/>
      <c r="AI771" s="40"/>
      <c r="AJ771" s="40"/>
      <c r="AK771" s="40"/>
    </row>
    <row r="772" spans="2:42" x14ac:dyDescent="0.3">
      <c r="B772" s="44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AA772" s="44"/>
      <c r="AB772" s="45"/>
      <c r="AC772" s="45"/>
      <c r="AD772" s="45"/>
      <c r="AE772" s="45"/>
      <c r="AF772" s="45"/>
      <c r="AG772" s="45"/>
      <c r="AH772" s="45"/>
      <c r="AI772" s="45"/>
      <c r="AJ772" s="45"/>
      <c r="AK772" s="45"/>
      <c r="AL772" s="45"/>
      <c r="AM772" s="43"/>
      <c r="AN772" s="43"/>
      <c r="AO772" s="43"/>
      <c r="AP772" s="43"/>
    </row>
    <row r="773" spans="2:42" x14ac:dyDescent="0.3">
      <c r="B773" s="39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AA773" s="39"/>
      <c r="AB773" s="40"/>
      <c r="AC773" s="40"/>
      <c r="AD773" s="40"/>
      <c r="AE773" s="40"/>
      <c r="AF773" s="40"/>
      <c r="AG773" s="40"/>
      <c r="AH773" s="40"/>
      <c r="AI773" s="40"/>
      <c r="AJ773" s="40"/>
      <c r="AK773" s="40"/>
    </row>
    <row r="774" spans="2:42" x14ac:dyDescent="0.3">
      <c r="B774" s="44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AA774" s="44"/>
      <c r="AB774" s="45"/>
      <c r="AC774" s="45"/>
      <c r="AD774" s="45"/>
      <c r="AE774" s="45"/>
      <c r="AF774" s="45"/>
      <c r="AG774" s="45"/>
      <c r="AH774" s="45"/>
      <c r="AI774" s="45"/>
      <c r="AJ774" s="45"/>
      <c r="AK774" s="45"/>
      <c r="AL774" s="45"/>
      <c r="AM774" s="43"/>
      <c r="AN774" s="43"/>
      <c r="AO774" s="43"/>
      <c r="AP774" s="43"/>
    </row>
    <row r="775" spans="2:42" x14ac:dyDescent="0.3">
      <c r="B775" s="39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AA775" s="39"/>
      <c r="AB775" s="40"/>
      <c r="AC775" s="40"/>
      <c r="AD775" s="40"/>
      <c r="AE775" s="40"/>
      <c r="AF775" s="40"/>
      <c r="AG775" s="40"/>
      <c r="AH775" s="40"/>
      <c r="AI775" s="40"/>
      <c r="AJ775" s="40"/>
      <c r="AK775" s="40"/>
    </row>
    <row r="776" spans="2:42" x14ac:dyDescent="0.3">
      <c r="B776" s="44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AA776" s="44"/>
      <c r="AB776" s="45"/>
      <c r="AC776" s="45"/>
      <c r="AD776" s="45"/>
      <c r="AE776" s="45"/>
      <c r="AF776" s="45"/>
      <c r="AG776" s="45"/>
      <c r="AH776" s="45"/>
      <c r="AI776" s="45"/>
      <c r="AJ776" s="45"/>
      <c r="AK776" s="45"/>
      <c r="AL776" s="45"/>
      <c r="AM776" s="43"/>
      <c r="AN776" s="43"/>
      <c r="AO776" s="43"/>
      <c r="AP776" s="43"/>
    </row>
    <row r="777" spans="2:42" x14ac:dyDescent="0.3">
      <c r="B777" s="39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AA777" s="39"/>
      <c r="AB777" s="40"/>
      <c r="AC777" s="40"/>
      <c r="AD777" s="40"/>
      <c r="AE777" s="40"/>
      <c r="AF777" s="40"/>
      <c r="AG777" s="40"/>
      <c r="AH777" s="40"/>
      <c r="AI777" s="40"/>
      <c r="AJ777" s="40"/>
      <c r="AK777" s="40"/>
    </row>
    <row r="778" spans="2:42" x14ac:dyDescent="0.3">
      <c r="B778" s="44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AA778" s="44"/>
      <c r="AB778" s="45"/>
      <c r="AC778" s="45"/>
      <c r="AD778" s="45"/>
      <c r="AE778" s="45"/>
      <c r="AF778" s="45"/>
      <c r="AG778" s="45"/>
      <c r="AH778" s="45"/>
      <c r="AI778" s="45"/>
      <c r="AJ778" s="45"/>
      <c r="AK778" s="45"/>
      <c r="AL778" s="45"/>
      <c r="AM778" s="43"/>
      <c r="AN778" s="43"/>
      <c r="AO778" s="43"/>
      <c r="AP778" s="43"/>
    </row>
    <row r="779" spans="2:42" x14ac:dyDescent="0.3">
      <c r="B779" s="39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AA779" s="39"/>
      <c r="AB779" s="40"/>
      <c r="AC779" s="40"/>
      <c r="AD779" s="40"/>
      <c r="AE779" s="40"/>
      <c r="AF779" s="40"/>
      <c r="AG779" s="40"/>
      <c r="AH779" s="40"/>
      <c r="AI779" s="40"/>
      <c r="AJ779" s="40"/>
      <c r="AK779" s="40"/>
    </row>
    <row r="780" spans="2:42" x14ac:dyDescent="0.3">
      <c r="B780" s="44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AA780" s="44"/>
      <c r="AB780" s="45"/>
      <c r="AC780" s="45"/>
      <c r="AD780" s="45"/>
      <c r="AE780" s="45"/>
      <c r="AF780" s="45"/>
      <c r="AG780" s="45"/>
      <c r="AH780" s="45"/>
      <c r="AI780" s="45"/>
      <c r="AJ780" s="45"/>
      <c r="AK780" s="45"/>
      <c r="AL780" s="45"/>
      <c r="AM780" s="43"/>
      <c r="AN780" s="43"/>
      <c r="AO780" s="43"/>
      <c r="AP780" s="43"/>
    </row>
    <row r="781" spans="2:42" x14ac:dyDescent="0.3">
      <c r="B781" s="39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AA781" s="39"/>
      <c r="AB781" s="40"/>
      <c r="AC781" s="40"/>
      <c r="AD781" s="40"/>
      <c r="AE781" s="40"/>
      <c r="AF781" s="40"/>
      <c r="AG781" s="40"/>
      <c r="AH781" s="40"/>
      <c r="AI781" s="40"/>
      <c r="AJ781" s="40"/>
      <c r="AK781" s="40"/>
    </row>
    <row r="782" spans="2:42" x14ac:dyDescent="0.3">
      <c r="B782" s="44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AA782" s="44"/>
      <c r="AB782" s="45"/>
      <c r="AC782" s="45"/>
      <c r="AD782" s="45"/>
      <c r="AE782" s="45"/>
      <c r="AF782" s="45"/>
      <c r="AG782" s="45"/>
      <c r="AH782" s="45"/>
      <c r="AI782" s="45"/>
      <c r="AJ782" s="45"/>
      <c r="AK782" s="45"/>
      <c r="AL782" s="45"/>
      <c r="AM782" s="43"/>
      <c r="AN782" s="43"/>
      <c r="AO782" s="43"/>
      <c r="AP782" s="43"/>
    </row>
    <row r="783" spans="2:42" x14ac:dyDescent="0.3">
      <c r="B783" s="39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AA783" s="39"/>
      <c r="AB783" s="40"/>
      <c r="AC783" s="40"/>
      <c r="AD783" s="40"/>
      <c r="AE783" s="40"/>
      <c r="AF783" s="40"/>
      <c r="AG783" s="40"/>
      <c r="AH783" s="40"/>
      <c r="AI783" s="40"/>
      <c r="AJ783" s="40"/>
      <c r="AK783" s="40"/>
    </row>
    <row r="784" spans="2:42" x14ac:dyDescent="0.3">
      <c r="B784" s="44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AA784" s="44"/>
      <c r="AB784" s="45"/>
      <c r="AC784" s="45"/>
      <c r="AD784" s="45"/>
      <c r="AE784" s="45"/>
      <c r="AF784" s="45"/>
      <c r="AG784" s="45"/>
      <c r="AH784" s="45"/>
      <c r="AI784" s="45"/>
      <c r="AJ784" s="45"/>
      <c r="AK784" s="45"/>
      <c r="AL784" s="45"/>
      <c r="AM784" s="43"/>
      <c r="AN784" s="43"/>
      <c r="AO784" s="43"/>
      <c r="AP784" s="43"/>
    </row>
    <row r="785" spans="2:42" x14ac:dyDescent="0.3">
      <c r="B785" s="39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AA785" s="39"/>
      <c r="AB785" s="40"/>
      <c r="AC785" s="40"/>
      <c r="AD785" s="40"/>
      <c r="AE785" s="40"/>
      <c r="AF785" s="40"/>
      <c r="AG785" s="40"/>
      <c r="AH785" s="40"/>
      <c r="AI785" s="40"/>
      <c r="AJ785" s="40"/>
      <c r="AK785" s="40"/>
    </row>
    <row r="786" spans="2:42" x14ac:dyDescent="0.3">
      <c r="B786" s="44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AA786" s="44"/>
      <c r="AB786" s="45"/>
      <c r="AC786" s="45"/>
      <c r="AD786" s="45"/>
      <c r="AE786" s="45"/>
      <c r="AF786" s="45"/>
      <c r="AG786" s="45"/>
      <c r="AH786" s="45"/>
      <c r="AI786" s="45"/>
      <c r="AJ786" s="45"/>
      <c r="AK786" s="45"/>
      <c r="AL786" s="45"/>
      <c r="AM786" s="43"/>
      <c r="AN786" s="43"/>
      <c r="AO786" s="43"/>
      <c r="AP786" s="43"/>
    </row>
    <row r="787" spans="2:42" x14ac:dyDescent="0.3">
      <c r="B787" s="39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AA787" s="39"/>
      <c r="AB787" s="40"/>
      <c r="AC787" s="40"/>
      <c r="AD787" s="40"/>
      <c r="AE787" s="40"/>
      <c r="AF787" s="40"/>
      <c r="AG787" s="40"/>
      <c r="AH787" s="40"/>
      <c r="AI787" s="40"/>
      <c r="AJ787" s="40"/>
      <c r="AK787" s="40"/>
    </row>
    <row r="788" spans="2:42" x14ac:dyDescent="0.3">
      <c r="B788" s="44"/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AA788" s="44"/>
      <c r="AB788" s="45"/>
      <c r="AC788" s="45"/>
      <c r="AD788" s="45"/>
      <c r="AE788" s="45"/>
      <c r="AF788" s="45"/>
      <c r="AG788" s="45"/>
      <c r="AH788" s="45"/>
      <c r="AI788" s="45"/>
      <c r="AJ788" s="45"/>
      <c r="AK788" s="45"/>
      <c r="AL788" s="45"/>
      <c r="AM788" s="43"/>
      <c r="AN788" s="43"/>
      <c r="AO788" s="43"/>
      <c r="AP788" s="43"/>
    </row>
    <row r="789" spans="2:42" x14ac:dyDescent="0.3">
      <c r="B789" s="39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AA789" s="39"/>
      <c r="AB789" s="40"/>
      <c r="AC789" s="40"/>
      <c r="AD789" s="40"/>
      <c r="AE789" s="40"/>
      <c r="AF789" s="40"/>
      <c r="AG789" s="40"/>
      <c r="AH789" s="40"/>
      <c r="AI789" s="40"/>
      <c r="AJ789" s="40"/>
      <c r="AK789" s="40"/>
    </row>
    <row r="790" spans="2:42" x14ac:dyDescent="0.3">
      <c r="B790" s="44"/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AA790" s="44"/>
      <c r="AB790" s="45"/>
      <c r="AC790" s="45"/>
      <c r="AD790" s="45"/>
      <c r="AE790" s="45"/>
      <c r="AF790" s="45"/>
      <c r="AG790" s="45"/>
      <c r="AH790" s="45"/>
      <c r="AI790" s="45"/>
      <c r="AJ790" s="45"/>
      <c r="AK790" s="45"/>
      <c r="AL790" s="45"/>
      <c r="AM790" s="43"/>
      <c r="AN790" s="43"/>
      <c r="AO790" s="43"/>
      <c r="AP790" s="43"/>
    </row>
    <row r="791" spans="2:42" x14ac:dyDescent="0.3">
      <c r="B791" s="39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AA791" s="39"/>
      <c r="AB791" s="40"/>
      <c r="AC791" s="40"/>
      <c r="AD791" s="40"/>
      <c r="AE791" s="40"/>
      <c r="AF791" s="40"/>
      <c r="AG791" s="40"/>
      <c r="AH791" s="40"/>
      <c r="AI791" s="40"/>
      <c r="AJ791" s="40"/>
      <c r="AK791" s="40"/>
    </row>
    <row r="792" spans="2:42" x14ac:dyDescent="0.3">
      <c r="B792" s="44"/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AA792" s="44"/>
      <c r="AB792" s="45"/>
      <c r="AC792" s="45"/>
      <c r="AD792" s="45"/>
      <c r="AE792" s="45"/>
      <c r="AF792" s="45"/>
      <c r="AG792" s="45"/>
      <c r="AH792" s="45"/>
      <c r="AI792" s="45"/>
      <c r="AJ792" s="45"/>
      <c r="AK792" s="45"/>
      <c r="AL792" s="45"/>
      <c r="AM792" s="43"/>
      <c r="AN792" s="43"/>
      <c r="AO792" s="43"/>
      <c r="AP792" s="43"/>
    </row>
    <row r="793" spans="2:42" x14ac:dyDescent="0.3">
      <c r="B793" s="39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AA793" s="39"/>
      <c r="AB793" s="40"/>
      <c r="AC793" s="40"/>
      <c r="AD793" s="40"/>
      <c r="AE793" s="40"/>
      <c r="AF793" s="40"/>
      <c r="AG793" s="40"/>
      <c r="AH793" s="40"/>
      <c r="AI793" s="40"/>
      <c r="AJ793" s="40"/>
      <c r="AK793" s="40"/>
    </row>
    <row r="794" spans="2:42" x14ac:dyDescent="0.3">
      <c r="B794" s="44"/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AA794" s="44"/>
      <c r="AB794" s="45"/>
      <c r="AC794" s="45"/>
      <c r="AD794" s="45"/>
      <c r="AE794" s="45"/>
      <c r="AF794" s="45"/>
      <c r="AG794" s="45"/>
      <c r="AH794" s="45"/>
      <c r="AI794" s="45"/>
      <c r="AJ794" s="45"/>
      <c r="AK794" s="45"/>
      <c r="AL794" s="45"/>
      <c r="AM794" s="43"/>
      <c r="AN794" s="43"/>
      <c r="AO794" s="43"/>
      <c r="AP794" s="43"/>
    </row>
    <row r="795" spans="2:42" x14ac:dyDescent="0.3">
      <c r="B795" s="39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AA795" s="39"/>
      <c r="AB795" s="40"/>
      <c r="AC795" s="40"/>
      <c r="AD795" s="40"/>
      <c r="AE795" s="40"/>
      <c r="AF795" s="40"/>
      <c r="AG795" s="40"/>
      <c r="AH795" s="40"/>
      <c r="AI795" s="40"/>
      <c r="AJ795" s="40"/>
      <c r="AK795" s="40"/>
    </row>
    <row r="796" spans="2:42" x14ac:dyDescent="0.3">
      <c r="B796" s="44"/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AA796" s="44"/>
      <c r="AB796" s="45"/>
      <c r="AC796" s="45"/>
      <c r="AD796" s="45"/>
      <c r="AE796" s="45"/>
      <c r="AF796" s="45"/>
      <c r="AG796" s="45"/>
      <c r="AH796" s="45"/>
      <c r="AI796" s="45"/>
      <c r="AJ796" s="45"/>
      <c r="AK796" s="45"/>
      <c r="AL796" s="45"/>
      <c r="AM796" s="43"/>
      <c r="AN796" s="43"/>
      <c r="AO796" s="43"/>
      <c r="AP796" s="43"/>
    </row>
    <row r="797" spans="2:42" x14ac:dyDescent="0.3">
      <c r="B797" s="39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AA797" s="39"/>
      <c r="AB797" s="40"/>
      <c r="AC797" s="40"/>
      <c r="AD797" s="40"/>
      <c r="AE797" s="40"/>
      <c r="AF797" s="40"/>
      <c r="AG797" s="40"/>
      <c r="AH797" s="40"/>
      <c r="AI797" s="40"/>
      <c r="AJ797" s="40"/>
      <c r="AK797" s="40"/>
    </row>
    <row r="798" spans="2:42" x14ac:dyDescent="0.3">
      <c r="B798" s="44"/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AA798" s="44"/>
      <c r="AB798" s="45"/>
      <c r="AC798" s="45"/>
      <c r="AD798" s="45"/>
      <c r="AE798" s="45"/>
      <c r="AF798" s="45"/>
      <c r="AG798" s="45"/>
      <c r="AH798" s="45"/>
      <c r="AI798" s="45"/>
      <c r="AJ798" s="45"/>
      <c r="AK798" s="45"/>
      <c r="AL798" s="45"/>
      <c r="AM798" s="43"/>
      <c r="AN798" s="43"/>
      <c r="AO798" s="43"/>
      <c r="AP798" s="43"/>
    </row>
    <row r="799" spans="2:42" x14ac:dyDescent="0.3">
      <c r="B799" s="39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AA799" s="39"/>
      <c r="AB799" s="40"/>
      <c r="AC799" s="40"/>
      <c r="AD799" s="40"/>
      <c r="AE799" s="40"/>
      <c r="AF799" s="40"/>
      <c r="AG799" s="40"/>
      <c r="AH799" s="40"/>
      <c r="AI799" s="40"/>
      <c r="AJ799" s="40"/>
      <c r="AK799" s="40"/>
    </row>
    <row r="800" spans="2:42" x14ac:dyDescent="0.3">
      <c r="B800" s="44"/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AA800" s="44"/>
      <c r="AB800" s="45"/>
      <c r="AC800" s="45"/>
      <c r="AD800" s="45"/>
      <c r="AE800" s="45"/>
      <c r="AF800" s="45"/>
      <c r="AG800" s="45"/>
      <c r="AH800" s="45"/>
      <c r="AI800" s="45"/>
      <c r="AJ800" s="45"/>
      <c r="AK800" s="45"/>
      <c r="AL800" s="45"/>
      <c r="AM800" s="43"/>
      <c r="AN800" s="43"/>
      <c r="AO800" s="43"/>
      <c r="AP800" s="43"/>
    </row>
    <row r="801" spans="2:42" x14ac:dyDescent="0.3">
      <c r="B801" s="39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AA801" s="39"/>
      <c r="AB801" s="40"/>
      <c r="AC801" s="40"/>
      <c r="AD801" s="40"/>
      <c r="AE801" s="40"/>
      <c r="AF801" s="40"/>
      <c r="AG801" s="40"/>
      <c r="AH801" s="40"/>
      <c r="AI801" s="40"/>
      <c r="AJ801" s="40"/>
      <c r="AK801" s="40"/>
    </row>
    <row r="802" spans="2:42" x14ac:dyDescent="0.3">
      <c r="B802" s="44"/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AA802" s="44"/>
      <c r="AB802" s="45"/>
      <c r="AC802" s="45"/>
      <c r="AD802" s="45"/>
      <c r="AE802" s="45"/>
      <c r="AF802" s="45"/>
      <c r="AG802" s="45"/>
      <c r="AH802" s="45"/>
      <c r="AI802" s="45"/>
      <c r="AJ802" s="45"/>
      <c r="AK802" s="45"/>
      <c r="AL802" s="45"/>
      <c r="AM802" s="43"/>
      <c r="AN802" s="43"/>
      <c r="AO802" s="43"/>
      <c r="AP802" s="43"/>
    </row>
    <row r="803" spans="2:42" x14ac:dyDescent="0.3">
      <c r="B803" s="39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AA803" s="39"/>
      <c r="AB803" s="40"/>
      <c r="AC803" s="40"/>
      <c r="AD803" s="40"/>
      <c r="AE803" s="40"/>
      <c r="AF803" s="40"/>
      <c r="AG803" s="40"/>
      <c r="AH803" s="40"/>
      <c r="AI803" s="40"/>
      <c r="AJ803" s="40"/>
      <c r="AK803" s="40"/>
    </row>
    <row r="804" spans="2:42" x14ac:dyDescent="0.3">
      <c r="B804" s="44"/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AA804" s="44"/>
      <c r="AB804" s="45"/>
      <c r="AC804" s="45"/>
      <c r="AD804" s="45"/>
      <c r="AE804" s="45"/>
      <c r="AF804" s="45"/>
      <c r="AG804" s="45"/>
      <c r="AH804" s="45"/>
      <c r="AI804" s="45"/>
      <c r="AJ804" s="45"/>
      <c r="AK804" s="45"/>
      <c r="AL804" s="45"/>
      <c r="AM804" s="43"/>
      <c r="AN804" s="43"/>
      <c r="AO804" s="43"/>
      <c r="AP804" s="43"/>
    </row>
    <row r="805" spans="2:42" x14ac:dyDescent="0.3">
      <c r="B805" s="39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AA805" s="39"/>
      <c r="AB805" s="40"/>
      <c r="AC805" s="40"/>
      <c r="AD805" s="40"/>
      <c r="AE805" s="40"/>
      <c r="AF805" s="40"/>
      <c r="AG805" s="40"/>
      <c r="AH805" s="40"/>
      <c r="AI805" s="40"/>
      <c r="AJ805" s="40"/>
      <c r="AK805" s="40"/>
    </row>
    <row r="806" spans="2:42" x14ac:dyDescent="0.3">
      <c r="B806" s="44"/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AA806" s="44"/>
      <c r="AB806" s="45"/>
      <c r="AC806" s="45"/>
      <c r="AD806" s="45"/>
      <c r="AE806" s="45"/>
      <c r="AF806" s="45"/>
      <c r="AG806" s="45"/>
      <c r="AH806" s="45"/>
      <c r="AI806" s="45"/>
      <c r="AJ806" s="45"/>
      <c r="AK806" s="45"/>
      <c r="AL806" s="45"/>
      <c r="AM806" s="43"/>
      <c r="AN806" s="43"/>
      <c r="AO806" s="43"/>
      <c r="AP806" s="43"/>
    </row>
    <row r="807" spans="2:42" x14ac:dyDescent="0.3">
      <c r="B807" s="39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AA807" s="39"/>
      <c r="AB807" s="40"/>
      <c r="AC807" s="40"/>
      <c r="AD807" s="40"/>
      <c r="AE807" s="40"/>
      <c r="AF807" s="40"/>
      <c r="AG807" s="40"/>
      <c r="AH807" s="40"/>
      <c r="AI807" s="40"/>
      <c r="AJ807" s="40"/>
      <c r="AK807" s="40"/>
    </row>
    <row r="808" spans="2:42" x14ac:dyDescent="0.3">
      <c r="B808" s="44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AA808" s="44"/>
      <c r="AB808" s="45"/>
      <c r="AC808" s="45"/>
      <c r="AD808" s="45"/>
      <c r="AE808" s="45"/>
      <c r="AF808" s="45"/>
      <c r="AG808" s="45"/>
      <c r="AH808" s="45"/>
      <c r="AI808" s="45"/>
      <c r="AJ808" s="45"/>
      <c r="AK808" s="45"/>
      <c r="AL808" s="45"/>
      <c r="AM808" s="43"/>
      <c r="AN808" s="43"/>
      <c r="AO808" s="43"/>
      <c r="AP808" s="43"/>
    </row>
    <row r="809" spans="2:42" x14ac:dyDescent="0.3">
      <c r="B809" s="39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AA809" s="39"/>
      <c r="AB809" s="40"/>
      <c r="AC809" s="40"/>
      <c r="AD809" s="40"/>
      <c r="AE809" s="40"/>
      <c r="AF809" s="40"/>
      <c r="AG809" s="40"/>
      <c r="AH809" s="40"/>
      <c r="AI809" s="40"/>
      <c r="AJ809" s="40"/>
      <c r="AK809" s="40"/>
    </row>
    <row r="810" spans="2:42" x14ac:dyDescent="0.3">
      <c r="B810" s="44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AA810" s="44"/>
      <c r="AB810" s="45"/>
      <c r="AC810" s="45"/>
      <c r="AD810" s="45"/>
      <c r="AE810" s="45"/>
      <c r="AF810" s="45"/>
      <c r="AG810" s="45"/>
      <c r="AH810" s="45"/>
      <c r="AI810" s="45"/>
      <c r="AJ810" s="45"/>
      <c r="AK810" s="45"/>
      <c r="AL810" s="45"/>
      <c r="AM810" s="43"/>
      <c r="AN810" s="43"/>
      <c r="AO810" s="43"/>
      <c r="AP810" s="43"/>
    </row>
    <row r="811" spans="2:42" x14ac:dyDescent="0.3">
      <c r="B811" s="39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AA811" s="39"/>
      <c r="AB811" s="40"/>
      <c r="AC811" s="40"/>
      <c r="AD811" s="40"/>
      <c r="AE811" s="40"/>
      <c r="AF811" s="40"/>
      <c r="AG811" s="40"/>
      <c r="AH811" s="40"/>
      <c r="AI811" s="40"/>
      <c r="AJ811" s="40"/>
      <c r="AK811" s="40"/>
    </row>
    <row r="812" spans="2:42" x14ac:dyDescent="0.3">
      <c r="B812" s="44"/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AA812" s="44"/>
      <c r="AB812" s="45"/>
      <c r="AC812" s="45"/>
      <c r="AD812" s="45"/>
      <c r="AE812" s="45"/>
      <c r="AF812" s="45"/>
      <c r="AG812" s="45"/>
      <c r="AH812" s="45"/>
      <c r="AI812" s="45"/>
      <c r="AJ812" s="45"/>
      <c r="AK812" s="45"/>
      <c r="AL812" s="45"/>
      <c r="AM812" s="43"/>
      <c r="AN812" s="43"/>
      <c r="AO812" s="43"/>
      <c r="AP812" s="43"/>
    </row>
    <row r="813" spans="2:42" x14ac:dyDescent="0.3">
      <c r="B813" s="39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AA813" s="39"/>
      <c r="AB813" s="40"/>
      <c r="AC813" s="40"/>
      <c r="AD813" s="40"/>
      <c r="AE813" s="40"/>
      <c r="AF813" s="40"/>
      <c r="AG813" s="40"/>
      <c r="AH813" s="40"/>
      <c r="AI813" s="40"/>
      <c r="AJ813" s="40"/>
      <c r="AK813" s="40"/>
    </row>
    <row r="814" spans="2:42" x14ac:dyDescent="0.3">
      <c r="B814" s="44"/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AA814" s="44"/>
      <c r="AB814" s="45"/>
      <c r="AC814" s="45"/>
      <c r="AD814" s="45"/>
      <c r="AE814" s="45"/>
      <c r="AF814" s="45"/>
      <c r="AG814" s="45"/>
      <c r="AH814" s="45"/>
      <c r="AI814" s="45"/>
      <c r="AJ814" s="45"/>
      <c r="AK814" s="45"/>
      <c r="AL814" s="45"/>
      <c r="AM814" s="43"/>
      <c r="AN814" s="43"/>
      <c r="AO814" s="43"/>
      <c r="AP814" s="43"/>
    </row>
    <row r="815" spans="2:42" x14ac:dyDescent="0.3">
      <c r="B815" s="39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AA815" s="39"/>
      <c r="AB815" s="40"/>
      <c r="AC815" s="40"/>
      <c r="AD815" s="40"/>
      <c r="AE815" s="40"/>
      <c r="AF815" s="40"/>
      <c r="AG815" s="40"/>
      <c r="AH815" s="40"/>
      <c r="AI815" s="40"/>
      <c r="AJ815" s="40"/>
      <c r="AK815" s="40"/>
    </row>
    <row r="816" spans="2:42" x14ac:dyDescent="0.3">
      <c r="B816" s="44"/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AA816" s="44"/>
      <c r="AB816" s="45"/>
      <c r="AC816" s="45"/>
      <c r="AD816" s="45"/>
      <c r="AE816" s="45"/>
      <c r="AF816" s="45"/>
      <c r="AG816" s="45"/>
      <c r="AH816" s="45"/>
      <c r="AI816" s="45"/>
      <c r="AJ816" s="45"/>
      <c r="AK816" s="45"/>
      <c r="AL816" s="45"/>
      <c r="AM816" s="43"/>
      <c r="AN816" s="43"/>
      <c r="AO816" s="43"/>
      <c r="AP816" s="43"/>
    </row>
    <row r="817" spans="2:42" x14ac:dyDescent="0.3">
      <c r="B817" s="39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AA817" s="39"/>
      <c r="AB817" s="40"/>
      <c r="AC817" s="40"/>
      <c r="AD817" s="40"/>
      <c r="AE817" s="40"/>
      <c r="AF817" s="40"/>
      <c r="AG817" s="40"/>
      <c r="AH817" s="40"/>
      <c r="AI817" s="40"/>
      <c r="AJ817" s="40"/>
      <c r="AK817" s="40"/>
    </row>
    <row r="818" spans="2:42" x14ac:dyDescent="0.3">
      <c r="B818" s="44"/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AA818" s="44"/>
      <c r="AB818" s="45"/>
      <c r="AC818" s="45"/>
      <c r="AD818" s="45"/>
      <c r="AE818" s="45"/>
      <c r="AF818" s="45"/>
      <c r="AG818" s="45"/>
      <c r="AH818" s="45"/>
      <c r="AI818" s="45"/>
      <c r="AJ818" s="45"/>
      <c r="AK818" s="45"/>
      <c r="AL818" s="45"/>
      <c r="AM818" s="43"/>
      <c r="AN818" s="43"/>
      <c r="AO818" s="43"/>
      <c r="AP818" s="43"/>
    </row>
    <row r="819" spans="2:42" x14ac:dyDescent="0.3">
      <c r="B819" s="39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AA819" s="39"/>
      <c r="AB819" s="40"/>
      <c r="AC819" s="40"/>
      <c r="AD819" s="40"/>
      <c r="AE819" s="40"/>
      <c r="AF819" s="40"/>
      <c r="AG819" s="40"/>
      <c r="AH819" s="40"/>
      <c r="AI819" s="40"/>
      <c r="AJ819" s="40"/>
      <c r="AK819" s="40"/>
    </row>
    <row r="820" spans="2:42" x14ac:dyDescent="0.3">
      <c r="B820" s="44"/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AA820" s="44"/>
      <c r="AB820" s="45"/>
      <c r="AC820" s="45"/>
      <c r="AD820" s="45"/>
      <c r="AE820" s="45"/>
      <c r="AF820" s="45"/>
      <c r="AG820" s="45"/>
      <c r="AH820" s="45"/>
      <c r="AI820" s="45"/>
      <c r="AJ820" s="45"/>
      <c r="AK820" s="45"/>
      <c r="AL820" s="45"/>
      <c r="AM820" s="43"/>
      <c r="AN820" s="43"/>
      <c r="AO820" s="43"/>
      <c r="AP820" s="43"/>
    </row>
    <row r="821" spans="2:42" x14ac:dyDescent="0.3">
      <c r="B821" s="39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AA821" s="39"/>
      <c r="AB821" s="40"/>
      <c r="AC821" s="40"/>
      <c r="AD821" s="40"/>
      <c r="AE821" s="40"/>
      <c r="AF821" s="40"/>
      <c r="AG821" s="40"/>
      <c r="AH821" s="40"/>
      <c r="AI821" s="40"/>
      <c r="AJ821" s="40"/>
      <c r="AK821" s="40"/>
    </row>
    <row r="822" spans="2:42" x14ac:dyDescent="0.3">
      <c r="B822" s="44"/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AA822" s="44"/>
      <c r="AB822" s="45"/>
      <c r="AC822" s="45"/>
      <c r="AD822" s="45"/>
      <c r="AE822" s="45"/>
      <c r="AF822" s="45"/>
      <c r="AG822" s="45"/>
      <c r="AH822" s="45"/>
      <c r="AI822" s="45"/>
      <c r="AJ822" s="45"/>
      <c r="AK822" s="45"/>
      <c r="AL822" s="45"/>
      <c r="AM822" s="43"/>
      <c r="AN822" s="43"/>
      <c r="AO822" s="43"/>
      <c r="AP822" s="43"/>
    </row>
    <row r="823" spans="2:42" x14ac:dyDescent="0.3">
      <c r="B823" s="39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AA823" s="39"/>
      <c r="AB823" s="40"/>
      <c r="AC823" s="40"/>
      <c r="AD823" s="40"/>
      <c r="AE823" s="40"/>
      <c r="AF823" s="40"/>
      <c r="AG823" s="40"/>
      <c r="AH823" s="40"/>
      <c r="AI823" s="40"/>
      <c r="AJ823" s="40"/>
      <c r="AK823" s="40"/>
    </row>
    <row r="824" spans="2:42" x14ac:dyDescent="0.3">
      <c r="B824" s="44"/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AA824" s="44"/>
      <c r="AB824" s="45"/>
      <c r="AC824" s="45"/>
      <c r="AD824" s="45"/>
      <c r="AE824" s="45"/>
      <c r="AF824" s="45"/>
      <c r="AG824" s="45"/>
      <c r="AH824" s="45"/>
      <c r="AI824" s="45"/>
      <c r="AJ824" s="45"/>
      <c r="AK824" s="45"/>
      <c r="AL824" s="45"/>
      <c r="AM824" s="43"/>
      <c r="AN824" s="43"/>
      <c r="AO824" s="43"/>
      <c r="AP824" s="43"/>
    </row>
    <row r="825" spans="2:42" x14ac:dyDescent="0.3">
      <c r="B825" s="39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AA825" s="39"/>
      <c r="AB825" s="40"/>
      <c r="AC825" s="40"/>
      <c r="AD825" s="40"/>
      <c r="AE825" s="40"/>
      <c r="AF825" s="40"/>
      <c r="AG825" s="40"/>
      <c r="AH825" s="40"/>
      <c r="AI825" s="40"/>
      <c r="AJ825" s="40"/>
      <c r="AK825" s="40"/>
    </row>
    <row r="826" spans="2:42" x14ac:dyDescent="0.3">
      <c r="B826" s="44"/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AA826" s="44"/>
      <c r="AB826" s="45"/>
      <c r="AC826" s="45"/>
      <c r="AD826" s="45"/>
      <c r="AE826" s="45"/>
      <c r="AF826" s="45"/>
      <c r="AG826" s="45"/>
      <c r="AH826" s="45"/>
      <c r="AI826" s="45"/>
      <c r="AJ826" s="45"/>
      <c r="AK826" s="45"/>
      <c r="AL826" s="45"/>
      <c r="AM826" s="43"/>
      <c r="AN826" s="43"/>
      <c r="AO826" s="43"/>
      <c r="AP826" s="43"/>
    </row>
    <row r="827" spans="2:42" x14ac:dyDescent="0.3">
      <c r="B827" s="39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AA827" s="39"/>
      <c r="AB827" s="40"/>
      <c r="AC827" s="40"/>
      <c r="AD827" s="40"/>
      <c r="AE827" s="40"/>
      <c r="AF827" s="40"/>
      <c r="AG827" s="40"/>
      <c r="AH827" s="40"/>
      <c r="AI827" s="40"/>
      <c r="AJ827" s="40"/>
      <c r="AK827" s="40"/>
    </row>
    <row r="828" spans="2:42" x14ac:dyDescent="0.3">
      <c r="B828" s="44"/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AA828" s="44"/>
      <c r="AB828" s="45"/>
      <c r="AC828" s="45"/>
      <c r="AD828" s="45"/>
      <c r="AE828" s="45"/>
      <c r="AF828" s="45"/>
      <c r="AG828" s="45"/>
      <c r="AH828" s="45"/>
      <c r="AI828" s="45"/>
      <c r="AJ828" s="45"/>
      <c r="AK828" s="45"/>
      <c r="AL828" s="45"/>
      <c r="AM828" s="43"/>
      <c r="AN828" s="43"/>
      <c r="AO828" s="43"/>
      <c r="AP828" s="43"/>
    </row>
    <row r="829" spans="2:42" x14ac:dyDescent="0.3">
      <c r="B829" s="39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AA829" s="39"/>
      <c r="AB829" s="40"/>
      <c r="AC829" s="40"/>
      <c r="AD829" s="40"/>
      <c r="AE829" s="40"/>
      <c r="AF829" s="40"/>
      <c r="AG829" s="40"/>
      <c r="AH829" s="40"/>
      <c r="AI829" s="40"/>
      <c r="AJ829" s="40"/>
      <c r="AK829" s="40"/>
    </row>
    <row r="830" spans="2:42" x14ac:dyDescent="0.3">
      <c r="B830" s="44"/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AA830" s="44"/>
      <c r="AB830" s="45"/>
      <c r="AC830" s="45"/>
      <c r="AD830" s="45"/>
      <c r="AE830" s="45"/>
      <c r="AF830" s="45"/>
      <c r="AG830" s="45"/>
      <c r="AH830" s="45"/>
      <c r="AI830" s="45"/>
      <c r="AJ830" s="45"/>
      <c r="AK830" s="45"/>
      <c r="AL830" s="45"/>
      <c r="AM830" s="43"/>
      <c r="AN830" s="43"/>
      <c r="AO830" s="43"/>
      <c r="AP830" s="43"/>
    </row>
    <row r="831" spans="2:42" x14ac:dyDescent="0.3">
      <c r="B831" s="39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AA831" s="39"/>
      <c r="AB831" s="40"/>
      <c r="AC831" s="40"/>
      <c r="AD831" s="40"/>
      <c r="AE831" s="40"/>
      <c r="AF831" s="40"/>
      <c r="AG831" s="40"/>
      <c r="AH831" s="40"/>
      <c r="AI831" s="40"/>
      <c r="AJ831" s="40"/>
      <c r="AK831" s="40"/>
    </row>
    <row r="832" spans="2:42" x14ac:dyDescent="0.3">
      <c r="B832" s="44"/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AA832" s="44"/>
      <c r="AB832" s="45"/>
      <c r="AC832" s="45"/>
      <c r="AD832" s="45"/>
      <c r="AE832" s="45"/>
      <c r="AF832" s="45"/>
      <c r="AG832" s="45"/>
      <c r="AH832" s="45"/>
      <c r="AI832" s="45"/>
      <c r="AJ832" s="45"/>
      <c r="AK832" s="45"/>
      <c r="AL832" s="45"/>
      <c r="AM832" s="43"/>
      <c r="AN832" s="43"/>
      <c r="AO832" s="43"/>
      <c r="AP832" s="43"/>
    </row>
    <row r="833" spans="2:42" x14ac:dyDescent="0.3">
      <c r="B833" s="39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AA833" s="39"/>
      <c r="AB833" s="40"/>
      <c r="AC833" s="40"/>
      <c r="AD833" s="40"/>
      <c r="AE833" s="40"/>
      <c r="AF833" s="40"/>
      <c r="AG833" s="40"/>
      <c r="AH833" s="40"/>
      <c r="AI833" s="40"/>
      <c r="AJ833" s="40"/>
      <c r="AK833" s="40"/>
    </row>
    <row r="834" spans="2:42" x14ac:dyDescent="0.3">
      <c r="B834" s="44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AA834" s="44"/>
      <c r="AB834" s="45"/>
      <c r="AC834" s="45"/>
      <c r="AD834" s="45"/>
      <c r="AE834" s="45"/>
      <c r="AF834" s="45"/>
      <c r="AG834" s="45"/>
      <c r="AH834" s="45"/>
      <c r="AI834" s="45"/>
      <c r="AJ834" s="45"/>
      <c r="AK834" s="45"/>
      <c r="AL834" s="45"/>
      <c r="AM834" s="43"/>
      <c r="AN834" s="43"/>
      <c r="AO834" s="43"/>
      <c r="AP834" s="43"/>
    </row>
    <row r="835" spans="2:42" x14ac:dyDescent="0.3">
      <c r="B835" s="39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AA835" s="39"/>
      <c r="AB835" s="40"/>
      <c r="AC835" s="40"/>
      <c r="AD835" s="40"/>
      <c r="AE835" s="40"/>
      <c r="AF835" s="40"/>
      <c r="AG835" s="40"/>
      <c r="AH835" s="40"/>
      <c r="AI835" s="40"/>
      <c r="AJ835" s="40"/>
      <c r="AK835" s="40"/>
    </row>
    <row r="836" spans="2:42" x14ac:dyDescent="0.3">
      <c r="B836" s="44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AA836" s="44"/>
      <c r="AB836" s="45"/>
      <c r="AC836" s="45"/>
      <c r="AD836" s="45"/>
      <c r="AE836" s="45"/>
      <c r="AF836" s="45"/>
      <c r="AG836" s="45"/>
      <c r="AH836" s="45"/>
      <c r="AI836" s="45"/>
      <c r="AJ836" s="45"/>
      <c r="AK836" s="45"/>
      <c r="AL836" s="45"/>
      <c r="AM836" s="43"/>
      <c r="AN836" s="43"/>
      <c r="AO836" s="43"/>
      <c r="AP836" s="43"/>
    </row>
    <row r="837" spans="2:42" x14ac:dyDescent="0.3">
      <c r="B837" s="39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AA837" s="39"/>
      <c r="AB837" s="40"/>
      <c r="AC837" s="40"/>
      <c r="AD837" s="40"/>
      <c r="AE837" s="40"/>
      <c r="AF837" s="40"/>
      <c r="AG837" s="40"/>
      <c r="AH837" s="40"/>
      <c r="AI837" s="40"/>
      <c r="AJ837" s="40"/>
      <c r="AK837" s="40"/>
    </row>
    <row r="838" spans="2:42" x14ac:dyDescent="0.3">
      <c r="B838" s="44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AA838" s="44"/>
      <c r="AB838" s="45"/>
      <c r="AC838" s="45"/>
      <c r="AD838" s="45"/>
      <c r="AE838" s="45"/>
      <c r="AF838" s="45"/>
      <c r="AG838" s="45"/>
      <c r="AH838" s="45"/>
      <c r="AI838" s="45"/>
      <c r="AJ838" s="45"/>
      <c r="AK838" s="45"/>
      <c r="AL838" s="45"/>
      <c r="AM838" s="43"/>
      <c r="AN838" s="43"/>
      <c r="AO838" s="43"/>
      <c r="AP838" s="43"/>
    </row>
    <row r="839" spans="2:42" x14ac:dyDescent="0.3">
      <c r="B839" s="39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AA839" s="39"/>
      <c r="AB839" s="40"/>
      <c r="AC839" s="40"/>
      <c r="AD839" s="40"/>
      <c r="AE839" s="40"/>
      <c r="AF839" s="40"/>
      <c r="AG839" s="40"/>
      <c r="AH839" s="40"/>
      <c r="AI839" s="40"/>
      <c r="AJ839" s="40"/>
      <c r="AK839" s="40"/>
    </row>
    <row r="840" spans="2:42" x14ac:dyDescent="0.3">
      <c r="B840" s="44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AA840" s="44"/>
      <c r="AB840" s="45"/>
      <c r="AC840" s="45"/>
      <c r="AD840" s="45"/>
      <c r="AE840" s="45"/>
      <c r="AF840" s="45"/>
      <c r="AG840" s="45"/>
      <c r="AH840" s="45"/>
      <c r="AI840" s="45"/>
      <c r="AJ840" s="45"/>
      <c r="AK840" s="45"/>
      <c r="AL840" s="45"/>
      <c r="AM840" s="43"/>
      <c r="AN840" s="43"/>
      <c r="AO840" s="43"/>
      <c r="AP840" s="43"/>
    </row>
    <row r="841" spans="2:42" x14ac:dyDescent="0.3">
      <c r="B841" s="39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AA841" s="39"/>
      <c r="AB841" s="40"/>
      <c r="AC841" s="40"/>
      <c r="AD841" s="40"/>
      <c r="AE841" s="40"/>
      <c r="AF841" s="40"/>
      <c r="AG841" s="40"/>
      <c r="AH841" s="40"/>
      <c r="AI841" s="40"/>
      <c r="AJ841" s="40"/>
      <c r="AK841" s="40"/>
    </row>
    <row r="842" spans="2:42" x14ac:dyDescent="0.3">
      <c r="B842" s="44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AA842" s="44"/>
      <c r="AB842" s="45"/>
      <c r="AC842" s="45"/>
      <c r="AD842" s="45"/>
      <c r="AE842" s="45"/>
      <c r="AF842" s="45"/>
      <c r="AG842" s="45"/>
      <c r="AH842" s="45"/>
      <c r="AI842" s="45"/>
      <c r="AJ842" s="45"/>
      <c r="AK842" s="45"/>
      <c r="AL842" s="45"/>
      <c r="AM842" s="43"/>
      <c r="AN842" s="43"/>
      <c r="AO842" s="43"/>
      <c r="AP842" s="43"/>
    </row>
    <row r="843" spans="2:42" x14ac:dyDescent="0.3">
      <c r="B843" s="39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AA843" s="39"/>
      <c r="AB843" s="40"/>
      <c r="AC843" s="40"/>
      <c r="AD843" s="40"/>
      <c r="AE843" s="40"/>
      <c r="AF843" s="40"/>
      <c r="AG843" s="40"/>
      <c r="AH843" s="40"/>
      <c r="AI843" s="40"/>
      <c r="AJ843" s="40"/>
      <c r="AK843" s="40"/>
    </row>
    <row r="844" spans="2:42" x14ac:dyDescent="0.3">
      <c r="B844" s="44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AA844" s="44"/>
      <c r="AB844" s="45"/>
      <c r="AC844" s="45"/>
      <c r="AD844" s="45"/>
      <c r="AE844" s="45"/>
      <c r="AF844" s="45"/>
      <c r="AG844" s="45"/>
      <c r="AH844" s="45"/>
      <c r="AI844" s="45"/>
      <c r="AJ844" s="45"/>
      <c r="AK844" s="45"/>
      <c r="AL844" s="45"/>
      <c r="AM844" s="43"/>
      <c r="AN844" s="43"/>
      <c r="AO844" s="43"/>
      <c r="AP844" s="43"/>
    </row>
    <row r="845" spans="2:42" x14ac:dyDescent="0.3">
      <c r="B845" s="39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AA845" s="39"/>
      <c r="AB845" s="40"/>
      <c r="AC845" s="40"/>
      <c r="AD845" s="40"/>
      <c r="AE845" s="40"/>
      <c r="AF845" s="40"/>
      <c r="AG845" s="40"/>
      <c r="AH845" s="40"/>
      <c r="AI845" s="40"/>
      <c r="AJ845" s="40"/>
      <c r="AK845" s="40"/>
    </row>
    <row r="846" spans="2:42" x14ac:dyDescent="0.3">
      <c r="B846" s="44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AA846" s="44"/>
      <c r="AB846" s="45"/>
      <c r="AC846" s="45"/>
      <c r="AD846" s="45"/>
      <c r="AE846" s="45"/>
      <c r="AF846" s="45"/>
      <c r="AG846" s="45"/>
      <c r="AH846" s="45"/>
      <c r="AI846" s="45"/>
      <c r="AJ846" s="45"/>
      <c r="AK846" s="45"/>
      <c r="AL846" s="45"/>
      <c r="AM846" s="43"/>
      <c r="AN846" s="43"/>
      <c r="AO846" s="43"/>
      <c r="AP846" s="43"/>
    </row>
    <row r="847" spans="2:42" x14ac:dyDescent="0.3">
      <c r="B847" s="39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AA847" s="39"/>
      <c r="AB847" s="40"/>
      <c r="AC847" s="40"/>
      <c r="AD847" s="40"/>
      <c r="AE847" s="40"/>
      <c r="AF847" s="40"/>
      <c r="AG847" s="40"/>
      <c r="AH847" s="40"/>
      <c r="AI847" s="40"/>
      <c r="AJ847" s="40"/>
      <c r="AK847" s="40"/>
    </row>
    <row r="848" spans="2:42" x14ac:dyDescent="0.3">
      <c r="B848" s="44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AA848" s="44"/>
      <c r="AB848" s="45"/>
      <c r="AC848" s="45"/>
      <c r="AD848" s="45"/>
      <c r="AE848" s="45"/>
      <c r="AF848" s="45"/>
      <c r="AG848" s="45"/>
      <c r="AH848" s="45"/>
      <c r="AI848" s="45"/>
      <c r="AJ848" s="45"/>
      <c r="AK848" s="45"/>
      <c r="AL848" s="45"/>
      <c r="AM848" s="43"/>
      <c r="AN848" s="43"/>
      <c r="AO848" s="43"/>
      <c r="AP848" s="43"/>
    </row>
    <row r="849" spans="2:42" x14ac:dyDescent="0.3">
      <c r="B849" s="39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AA849" s="39"/>
      <c r="AB849" s="40"/>
      <c r="AC849" s="40"/>
      <c r="AD849" s="40"/>
      <c r="AE849" s="40"/>
      <c r="AF849" s="40"/>
      <c r="AG849" s="40"/>
      <c r="AH849" s="40"/>
      <c r="AI849" s="40"/>
      <c r="AJ849" s="40"/>
      <c r="AK849" s="40"/>
    </row>
    <row r="850" spans="2:42" x14ac:dyDescent="0.3">
      <c r="B850" s="44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AA850" s="44"/>
      <c r="AB850" s="45"/>
      <c r="AC850" s="45"/>
      <c r="AD850" s="45"/>
      <c r="AE850" s="45"/>
      <c r="AF850" s="45"/>
      <c r="AG850" s="45"/>
      <c r="AH850" s="45"/>
      <c r="AI850" s="45"/>
      <c r="AJ850" s="45"/>
      <c r="AK850" s="45"/>
      <c r="AL850" s="45"/>
      <c r="AM850" s="43"/>
      <c r="AN850" s="43"/>
      <c r="AO850" s="43"/>
      <c r="AP850" s="43"/>
    </row>
    <row r="851" spans="2:42" x14ac:dyDescent="0.3">
      <c r="B851" s="39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AA851" s="39"/>
      <c r="AB851" s="40"/>
      <c r="AC851" s="40"/>
      <c r="AD851" s="40"/>
      <c r="AE851" s="40"/>
      <c r="AF851" s="40"/>
      <c r="AG851" s="40"/>
      <c r="AH851" s="40"/>
      <c r="AI851" s="40"/>
      <c r="AJ851" s="40"/>
      <c r="AK851" s="40"/>
    </row>
    <row r="852" spans="2:42" x14ac:dyDescent="0.3">
      <c r="B852" s="44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AA852" s="44"/>
      <c r="AB852" s="45"/>
      <c r="AC852" s="45"/>
      <c r="AD852" s="45"/>
      <c r="AE852" s="45"/>
      <c r="AF852" s="45"/>
      <c r="AG852" s="45"/>
      <c r="AH852" s="45"/>
      <c r="AI852" s="45"/>
      <c r="AJ852" s="45"/>
      <c r="AK852" s="45"/>
      <c r="AL852" s="45"/>
      <c r="AM852" s="43"/>
      <c r="AN852" s="43"/>
      <c r="AO852" s="43"/>
      <c r="AP852" s="43"/>
    </row>
    <row r="853" spans="2:42" x14ac:dyDescent="0.3">
      <c r="B853" s="39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AA853" s="39"/>
      <c r="AB853" s="40"/>
      <c r="AC853" s="40"/>
      <c r="AD853" s="40"/>
      <c r="AE853" s="40"/>
      <c r="AF853" s="40"/>
      <c r="AG853" s="40"/>
      <c r="AH853" s="40"/>
      <c r="AI853" s="40"/>
      <c r="AJ853" s="40"/>
      <c r="AK853" s="40"/>
    </row>
    <row r="854" spans="2:42" x14ac:dyDescent="0.3">
      <c r="B854" s="44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AA854" s="44"/>
      <c r="AB854" s="45"/>
      <c r="AC854" s="45"/>
      <c r="AD854" s="45"/>
      <c r="AE854" s="45"/>
      <c r="AF854" s="45"/>
      <c r="AG854" s="45"/>
      <c r="AH854" s="45"/>
      <c r="AI854" s="45"/>
      <c r="AJ854" s="45"/>
      <c r="AK854" s="45"/>
      <c r="AL854" s="45"/>
      <c r="AM854" s="43"/>
      <c r="AN854" s="43"/>
      <c r="AO854" s="43"/>
      <c r="AP854" s="43"/>
    </row>
    <row r="855" spans="2:42" x14ac:dyDescent="0.3">
      <c r="B855" s="39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AA855" s="39"/>
      <c r="AB855" s="40"/>
      <c r="AC855" s="40"/>
      <c r="AD855" s="40"/>
      <c r="AE855" s="40"/>
      <c r="AF855" s="40"/>
      <c r="AG855" s="40"/>
      <c r="AH855" s="40"/>
      <c r="AI855" s="40"/>
      <c r="AJ855" s="40"/>
      <c r="AK855" s="40"/>
    </row>
    <row r="856" spans="2:42" x14ac:dyDescent="0.3">
      <c r="B856" s="44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AA856" s="44"/>
      <c r="AB856" s="45"/>
      <c r="AC856" s="45"/>
      <c r="AD856" s="45"/>
      <c r="AE856" s="45"/>
      <c r="AF856" s="45"/>
      <c r="AG856" s="45"/>
      <c r="AH856" s="45"/>
      <c r="AI856" s="45"/>
      <c r="AJ856" s="45"/>
      <c r="AK856" s="45"/>
      <c r="AL856" s="45"/>
      <c r="AM856" s="43"/>
      <c r="AN856" s="43"/>
      <c r="AO856" s="43"/>
      <c r="AP856" s="43"/>
    </row>
    <row r="857" spans="2:42" x14ac:dyDescent="0.3">
      <c r="B857" s="39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AA857" s="39"/>
      <c r="AB857" s="40"/>
      <c r="AC857" s="40"/>
      <c r="AD857" s="40"/>
      <c r="AE857" s="40"/>
      <c r="AF857" s="40"/>
      <c r="AG857" s="40"/>
      <c r="AH857" s="40"/>
      <c r="AI857" s="40"/>
      <c r="AJ857" s="40"/>
      <c r="AK857" s="40"/>
    </row>
    <row r="858" spans="2:42" x14ac:dyDescent="0.3">
      <c r="B858" s="44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AA858" s="44"/>
      <c r="AB858" s="45"/>
      <c r="AC858" s="45"/>
      <c r="AD858" s="45"/>
      <c r="AE858" s="45"/>
      <c r="AF858" s="45"/>
      <c r="AG858" s="45"/>
      <c r="AH858" s="45"/>
      <c r="AI858" s="45"/>
      <c r="AJ858" s="45"/>
      <c r="AK858" s="45"/>
      <c r="AL858" s="45"/>
      <c r="AM858" s="43"/>
      <c r="AN858" s="43"/>
      <c r="AO858" s="43"/>
      <c r="AP858" s="43"/>
    </row>
    <row r="859" spans="2:42" x14ac:dyDescent="0.3">
      <c r="B859" s="39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AA859" s="39"/>
      <c r="AB859" s="40"/>
      <c r="AC859" s="40"/>
      <c r="AD859" s="40"/>
      <c r="AE859" s="40"/>
      <c r="AF859" s="40"/>
      <c r="AG859" s="40"/>
      <c r="AH859" s="40"/>
      <c r="AI859" s="40"/>
      <c r="AJ859" s="40"/>
      <c r="AK859" s="40"/>
    </row>
    <row r="860" spans="2:42" x14ac:dyDescent="0.3">
      <c r="B860" s="44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AA860" s="44"/>
      <c r="AB860" s="45"/>
      <c r="AC860" s="45"/>
      <c r="AD860" s="45"/>
      <c r="AE860" s="45"/>
      <c r="AF860" s="45"/>
      <c r="AG860" s="45"/>
      <c r="AH860" s="45"/>
      <c r="AI860" s="45"/>
      <c r="AJ860" s="45"/>
      <c r="AK860" s="45"/>
      <c r="AL860" s="45"/>
      <c r="AM860" s="43"/>
      <c r="AN860" s="43"/>
      <c r="AO860" s="43"/>
      <c r="AP860" s="43"/>
    </row>
    <row r="861" spans="2:42" x14ac:dyDescent="0.3">
      <c r="B861" s="39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AA861" s="39"/>
      <c r="AB861" s="40"/>
      <c r="AC861" s="40"/>
      <c r="AD861" s="40"/>
      <c r="AE861" s="40"/>
      <c r="AF861" s="40"/>
      <c r="AG861" s="40"/>
      <c r="AH861" s="40"/>
      <c r="AI861" s="40"/>
      <c r="AJ861" s="40"/>
      <c r="AK861" s="40"/>
    </row>
    <row r="862" spans="2:42" x14ac:dyDescent="0.3">
      <c r="B862" s="44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AA862" s="44"/>
      <c r="AB862" s="45"/>
      <c r="AC862" s="45"/>
      <c r="AD862" s="45"/>
      <c r="AE862" s="45"/>
      <c r="AF862" s="45"/>
      <c r="AG862" s="45"/>
      <c r="AH862" s="45"/>
      <c r="AI862" s="45"/>
      <c r="AJ862" s="45"/>
      <c r="AK862" s="45"/>
      <c r="AL862" s="45"/>
      <c r="AM862" s="43"/>
      <c r="AN862" s="43"/>
      <c r="AO862" s="43"/>
      <c r="AP862" s="43"/>
    </row>
    <row r="863" spans="2:42" x14ac:dyDescent="0.3">
      <c r="B863" s="39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AA863" s="39"/>
      <c r="AB863" s="40"/>
      <c r="AC863" s="40"/>
      <c r="AD863" s="40"/>
      <c r="AE863" s="40"/>
      <c r="AF863" s="40"/>
      <c r="AG863" s="40"/>
      <c r="AH863" s="40"/>
      <c r="AI863" s="40"/>
      <c r="AJ863" s="40"/>
      <c r="AK863" s="40"/>
    </row>
    <row r="864" spans="2:42" x14ac:dyDescent="0.3">
      <c r="B864" s="44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AA864" s="44"/>
      <c r="AB864" s="45"/>
      <c r="AC864" s="45"/>
      <c r="AD864" s="45"/>
      <c r="AE864" s="45"/>
      <c r="AF864" s="45"/>
      <c r="AG864" s="45"/>
      <c r="AH864" s="45"/>
      <c r="AI864" s="45"/>
      <c r="AJ864" s="45"/>
      <c r="AK864" s="45"/>
      <c r="AL864" s="45"/>
      <c r="AM864" s="43"/>
      <c r="AN864" s="43"/>
      <c r="AO864" s="43"/>
      <c r="AP864" s="43"/>
    </row>
    <row r="865" spans="2:42" x14ac:dyDescent="0.3">
      <c r="B865" s="39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AA865" s="39"/>
      <c r="AB865" s="40"/>
      <c r="AC865" s="40"/>
      <c r="AD865" s="40"/>
      <c r="AE865" s="40"/>
      <c r="AF865" s="40"/>
      <c r="AG865" s="40"/>
      <c r="AH865" s="40"/>
      <c r="AI865" s="40"/>
      <c r="AJ865" s="40"/>
      <c r="AK865" s="40"/>
    </row>
    <row r="866" spans="2:42" x14ac:dyDescent="0.3">
      <c r="B866" s="44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AA866" s="44"/>
      <c r="AB866" s="45"/>
      <c r="AC866" s="45"/>
      <c r="AD866" s="45"/>
      <c r="AE866" s="45"/>
      <c r="AF866" s="45"/>
      <c r="AG866" s="45"/>
      <c r="AH866" s="45"/>
      <c r="AI866" s="45"/>
      <c r="AJ866" s="45"/>
      <c r="AK866" s="45"/>
      <c r="AL866" s="45"/>
      <c r="AM866" s="43"/>
      <c r="AN866" s="43"/>
      <c r="AO866" s="43"/>
      <c r="AP866" s="43"/>
    </row>
    <row r="867" spans="2:42" x14ac:dyDescent="0.3">
      <c r="B867" s="39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AA867" s="39"/>
      <c r="AB867" s="40"/>
      <c r="AC867" s="40"/>
      <c r="AD867" s="40"/>
      <c r="AE867" s="40"/>
      <c r="AF867" s="40"/>
      <c r="AG867" s="40"/>
      <c r="AH867" s="40"/>
      <c r="AI867" s="40"/>
      <c r="AJ867" s="40"/>
      <c r="AK867" s="40"/>
    </row>
    <row r="868" spans="2:42" x14ac:dyDescent="0.3">
      <c r="B868" s="44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AA868" s="44"/>
      <c r="AB868" s="45"/>
      <c r="AC868" s="45"/>
      <c r="AD868" s="45"/>
      <c r="AE868" s="45"/>
      <c r="AF868" s="45"/>
      <c r="AG868" s="45"/>
      <c r="AH868" s="45"/>
      <c r="AI868" s="45"/>
      <c r="AJ868" s="45"/>
      <c r="AK868" s="45"/>
      <c r="AL868" s="45"/>
      <c r="AM868" s="43"/>
      <c r="AN868" s="43"/>
      <c r="AO868" s="43"/>
      <c r="AP868" s="43"/>
    </row>
    <row r="869" spans="2:42" x14ac:dyDescent="0.3">
      <c r="B869" s="39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AA869" s="39"/>
      <c r="AB869" s="40"/>
      <c r="AC869" s="40"/>
      <c r="AD869" s="40"/>
      <c r="AE869" s="40"/>
      <c r="AF869" s="40"/>
      <c r="AG869" s="40"/>
      <c r="AH869" s="40"/>
      <c r="AI869" s="40"/>
      <c r="AJ869" s="40"/>
      <c r="AK869" s="40"/>
    </row>
    <row r="870" spans="2:42" x14ac:dyDescent="0.3">
      <c r="B870" s="44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AA870" s="44"/>
      <c r="AB870" s="45"/>
      <c r="AC870" s="45"/>
      <c r="AD870" s="45"/>
      <c r="AE870" s="45"/>
      <c r="AF870" s="45"/>
      <c r="AG870" s="45"/>
      <c r="AH870" s="45"/>
      <c r="AI870" s="45"/>
      <c r="AJ870" s="45"/>
      <c r="AK870" s="45"/>
      <c r="AL870" s="45"/>
      <c r="AM870" s="43"/>
      <c r="AN870" s="43"/>
      <c r="AO870" s="43"/>
      <c r="AP870" s="43"/>
    </row>
    <row r="871" spans="2:42" x14ac:dyDescent="0.3">
      <c r="B871" s="39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AA871" s="39"/>
      <c r="AB871" s="40"/>
      <c r="AC871" s="40"/>
      <c r="AD871" s="40"/>
      <c r="AE871" s="40"/>
      <c r="AF871" s="40"/>
      <c r="AG871" s="40"/>
      <c r="AH871" s="40"/>
      <c r="AI871" s="40"/>
      <c r="AJ871" s="40"/>
      <c r="AK871" s="40"/>
    </row>
    <row r="872" spans="2:42" x14ac:dyDescent="0.3">
      <c r="B872" s="44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AA872" s="44"/>
      <c r="AB872" s="45"/>
      <c r="AC872" s="45"/>
      <c r="AD872" s="45"/>
      <c r="AE872" s="45"/>
      <c r="AF872" s="45"/>
      <c r="AG872" s="45"/>
      <c r="AH872" s="45"/>
      <c r="AI872" s="45"/>
      <c r="AJ872" s="45"/>
      <c r="AK872" s="45"/>
      <c r="AL872" s="45"/>
      <c r="AM872" s="43"/>
      <c r="AN872" s="43"/>
      <c r="AO872" s="43"/>
      <c r="AP872" s="43"/>
    </row>
    <row r="873" spans="2:42" x14ac:dyDescent="0.3">
      <c r="B873" s="39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AA873" s="39"/>
      <c r="AB873" s="40"/>
      <c r="AC873" s="40"/>
      <c r="AD873" s="40"/>
      <c r="AE873" s="40"/>
      <c r="AF873" s="40"/>
      <c r="AG873" s="40"/>
      <c r="AH873" s="40"/>
      <c r="AI873" s="40"/>
      <c r="AJ873" s="40"/>
      <c r="AK873" s="40"/>
    </row>
    <row r="874" spans="2:42" x14ac:dyDescent="0.3">
      <c r="B874" s="44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AA874" s="44"/>
      <c r="AB874" s="45"/>
      <c r="AC874" s="45"/>
      <c r="AD874" s="45"/>
      <c r="AE874" s="45"/>
      <c r="AF874" s="45"/>
      <c r="AG874" s="45"/>
      <c r="AH874" s="45"/>
      <c r="AI874" s="45"/>
      <c r="AJ874" s="45"/>
      <c r="AK874" s="45"/>
      <c r="AL874" s="45"/>
      <c r="AM874" s="43"/>
      <c r="AN874" s="43"/>
      <c r="AO874" s="43"/>
      <c r="AP874" s="43"/>
    </row>
    <row r="875" spans="2:42" x14ac:dyDescent="0.3">
      <c r="B875" s="39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AA875" s="39"/>
      <c r="AB875" s="40"/>
      <c r="AC875" s="40"/>
      <c r="AD875" s="40"/>
      <c r="AE875" s="40"/>
      <c r="AF875" s="40"/>
      <c r="AG875" s="40"/>
      <c r="AH875" s="40"/>
      <c r="AI875" s="40"/>
      <c r="AJ875" s="40"/>
      <c r="AK875" s="40"/>
    </row>
    <row r="876" spans="2:42" x14ac:dyDescent="0.3">
      <c r="B876" s="44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AA876" s="44"/>
      <c r="AB876" s="45"/>
      <c r="AC876" s="45"/>
      <c r="AD876" s="45"/>
      <c r="AE876" s="45"/>
      <c r="AF876" s="45"/>
      <c r="AG876" s="45"/>
      <c r="AH876" s="45"/>
      <c r="AI876" s="45"/>
      <c r="AJ876" s="45"/>
      <c r="AK876" s="45"/>
      <c r="AL876" s="45"/>
      <c r="AM876" s="43"/>
      <c r="AN876" s="43"/>
      <c r="AO876" s="43"/>
      <c r="AP876" s="43"/>
    </row>
    <row r="877" spans="2:42" x14ac:dyDescent="0.3">
      <c r="B877" s="39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AA877" s="39"/>
      <c r="AB877" s="40"/>
      <c r="AC877" s="40"/>
      <c r="AD877" s="40"/>
      <c r="AE877" s="40"/>
      <c r="AF877" s="40"/>
      <c r="AG877" s="40"/>
      <c r="AH877" s="40"/>
      <c r="AI877" s="40"/>
      <c r="AJ877" s="40"/>
      <c r="AK877" s="40"/>
    </row>
    <row r="878" spans="2:42" x14ac:dyDescent="0.3">
      <c r="B878" s="44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AA878" s="44"/>
      <c r="AB878" s="45"/>
      <c r="AC878" s="45"/>
      <c r="AD878" s="45"/>
      <c r="AE878" s="45"/>
      <c r="AF878" s="45"/>
      <c r="AG878" s="45"/>
      <c r="AH878" s="45"/>
      <c r="AI878" s="45"/>
      <c r="AJ878" s="45"/>
      <c r="AK878" s="45"/>
      <c r="AL878" s="45"/>
      <c r="AM878" s="43"/>
      <c r="AN878" s="43"/>
      <c r="AO878" s="43"/>
      <c r="AP878" s="43"/>
    </row>
    <row r="879" spans="2:42" x14ac:dyDescent="0.3">
      <c r="B879" s="39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AA879" s="39"/>
      <c r="AB879" s="40"/>
      <c r="AC879" s="40"/>
      <c r="AD879" s="40"/>
      <c r="AE879" s="40"/>
      <c r="AF879" s="40"/>
      <c r="AG879" s="40"/>
      <c r="AH879" s="40"/>
      <c r="AI879" s="40"/>
      <c r="AJ879" s="40"/>
      <c r="AK879" s="40"/>
    </row>
    <row r="880" spans="2:42" x14ac:dyDescent="0.3">
      <c r="B880" s="44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AA880" s="44"/>
      <c r="AB880" s="45"/>
      <c r="AC880" s="45"/>
      <c r="AD880" s="45"/>
      <c r="AE880" s="45"/>
      <c r="AF880" s="45"/>
      <c r="AG880" s="45"/>
      <c r="AH880" s="45"/>
      <c r="AI880" s="45"/>
      <c r="AJ880" s="45"/>
      <c r="AK880" s="45"/>
      <c r="AL880" s="45"/>
      <c r="AM880" s="43"/>
      <c r="AN880" s="43"/>
      <c r="AO880" s="43"/>
      <c r="AP880" s="43"/>
    </row>
    <row r="881" spans="2:42" x14ac:dyDescent="0.3">
      <c r="B881" s="39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AA881" s="39"/>
      <c r="AB881" s="40"/>
      <c r="AC881" s="40"/>
      <c r="AD881" s="40"/>
      <c r="AE881" s="40"/>
      <c r="AF881" s="40"/>
      <c r="AG881" s="40"/>
      <c r="AH881" s="40"/>
      <c r="AI881" s="40"/>
      <c r="AJ881" s="40"/>
      <c r="AK881" s="40"/>
    </row>
    <row r="882" spans="2:42" x14ac:dyDescent="0.3">
      <c r="B882" s="44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AA882" s="44"/>
      <c r="AB882" s="45"/>
      <c r="AC882" s="45"/>
      <c r="AD882" s="45"/>
      <c r="AE882" s="45"/>
      <c r="AF882" s="45"/>
      <c r="AG882" s="45"/>
      <c r="AH882" s="45"/>
      <c r="AI882" s="45"/>
      <c r="AJ882" s="45"/>
      <c r="AK882" s="45"/>
      <c r="AL882" s="45"/>
      <c r="AM882" s="43"/>
      <c r="AN882" s="43"/>
      <c r="AO882" s="43"/>
      <c r="AP882" s="43"/>
    </row>
    <row r="883" spans="2:42" x14ac:dyDescent="0.3">
      <c r="B883" s="39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AA883" s="39"/>
      <c r="AB883" s="40"/>
      <c r="AC883" s="40"/>
      <c r="AD883" s="40"/>
      <c r="AE883" s="40"/>
      <c r="AF883" s="40"/>
      <c r="AG883" s="40"/>
      <c r="AH883" s="40"/>
      <c r="AI883" s="40"/>
      <c r="AJ883" s="40"/>
      <c r="AK883" s="40"/>
    </row>
    <row r="884" spans="2:42" x14ac:dyDescent="0.3">
      <c r="B884" s="44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AA884" s="44"/>
      <c r="AB884" s="45"/>
      <c r="AC884" s="45"/>
      <c r="AD884" s="45"/>
      <c r="AE884" s="45"/>
      <c r="AF884" s="45"/>
      <c r="AG884" s="45"/>
      <c r="AH884" s="45"/>
      <c r="AI884" s="45"/>
      <c r="AJ884" s="45"/>
      <c r="AK884" s="45"/>
      <c r="AL884" s="45"/>
      <c r="AM884" s="43"/>
      <c r="AN884" s="43"/>
      <c r="AO884" s="43"/>
      <c r="AP884" s="43"/>
    </row>
    <row r="885" spans="2:42" x14ac:dyDescent="0.3">
      <c r="B885" s="39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AA885" s="39"/>
      <c r="AB885" s="40"/>
      <c r="AC885" s="40"/>
      <c r="AD885" s="40"/>
      <c r="AE885" s="40"/>
      <c r="AF885" s="40"/>
      <c r="AG885" s="40"/>
      <c r="AH885" s="40"/>
      <c r="AI885" s="40"/>
      <c r="AJ885" s="40"/>
      <c r="AK885" s="40"/>
    </row>
    <row r="886" spans="2:42" x14ac:dyDescent="0.3">
      <c r="B886" s="44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AA886" s="44"/>
      <c r="AB886" s="45"/>
      <c r="AC886" s="45"/>
      <c r="AD886" s="45"/>
      <c r="AE886" s="45"/>
      <c r="AF886" s="45"/>
      <c r="AG886" s="45"/>
      <c r="AH886" s="45"/>
      <c r="AI886" s="45"/>
      <c r="AJ886" s="45"/>
      <c r="AK886" s="45"/>
      <c r="AL886" s="45"/>
      <c r="AM886" s="43"/>
      <c r="AN886" s="43"/>
      <c r="AO886" s="43"/>
      <c r="AP886" s="43"/>
    </row>
    <row r="887" spans="2:42" x14ac:dyDescent="0.3">
      <c r="B887" s="39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AA887" s="39"/>
      <c r="AB887" s="40"/>
      <c r="AC887" s="40"/>
      <c r="AD887" s="40"/>
      <c r="AE887" s="40"/>
      <c r="AF887" s="40"/>
      <c r="AG887" s="40"/>
      <c r="AH887" s="40"/>
      <c r="AI887" s="40"/>
      <c r="AJ887" s="40"/>
      <c r="AK887" s="40"/>
    </row>
    <row r="888" spans="2:42" x14ac:dyDescent="0.3">
      <c r="B888" s="44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AA888" s="44"/>
      <c r="AB888" s="45"/>
      <c r="AC888" s="45"/>
      <c r="AD888" s="45"/>
      <c r="AE888" s="45"/>
      <c r="AF888" s="45"/>
      <c r="AG888" s="45"/>
      <c r="AH888" s="45"/>
      <c r="AI888" s="45"/>
      <c r="AJ888" s="45"/>
      <c r="AK888" s="45"/>
      <c r="AL888" s="45"/>
      <c r="AM888" s="43"/>
      <c r="AN888" s="43"/>
      <c r="AO888" s="43"/>
      <c r="AP888" s="43"/>
    </row>
    <row r="889" spans="2:42" x14ac:dyDescent="0.3">
      <c r="B889" s="39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AA889" s="39"/>
      <c r="AB889" s="40"/>
      <c r="AC889" s="40"/>
      <c r="AD889" s="40"/>
      <c r="AE889" s="40"/>
      <c r="AF889" s="40"/>
      <c r="AG889" s="40"/>
      <c r="AH889" s="40"/>
      <c r="AI889" s="40"/>
      <c r="AJ889" s="40"/>
      <c r="AK889" s="40"/>
    </row>
    <row r="890" spans="2:42" x14ac:dyDescent="0.3">
      <c r="B890" s="44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AA890" s="44"/>
      <c r="AB890" s="45"/>
      <c r="AC890" s="45"/>
      <c r="AD890" s="45"/>
      <c r="AE890" s="45"/>
      <c r="AF890" s="45"/>
      <c r="AG890" s="45"/>
      <c r="AH890" s="45"/>
      <c r="AI890" s="45"/>
      <c r="AJ890" s="45"/>
      <c r="AK890" s="45"/>
      <c r="AL890" s="45"/>
      <c r="AM890" s="43"/>
      <c r="AN890" s="43"/>
      <c r="AO890" s="43"/>
      <c r="AP890" s="43"/>
    </row>
    <row r="891" spans="2:42" x14ac:dyDescent="0.3">
      <c r="B891" s="39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AA891" s="39"/>
      <c r="AB891" s="40"/>
      <c r="AC891" s="40"/>
      <c r="AD891" s="40"/>
      <c r="AE891" s="40"/>
      <c r="AF891" s="40"/>
      <c r="AG891" s="40"/>
      <c r="AH891" s="40"/>
      <c r="AI891" s="40"/>
      <c r="AJ891" s="40"/>
      <c r="AK891" s="40"/>
    </row>
    <row r="892" spans="2:42" x14ac:dyDescent="0.3">
      <c r="B892" s="44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AA892" s="44"/>
      <c r="AB892" s="45"/>
      <c r="AC892" s="45"/>
      <c r="AD892" s="45"/>
      <c r="AE892" s="45"/>
      <c r="AF892" s="45"/>
      <c r="AG892" s="45"/>
      <c r="AH892" s="45"/>
      <c r="AI892" s="45"/>
      <c r="AJ892" s="45"/>
      <c r="AK892" s="45"/>
      <c r="AL892" s="45"/>
      <c r="AM892" s="43"/>
      <c r="AN892" s="43"/>
      <c r="AO892" s="43"/>
      <c r="AP892" s="43"/>
    </row>
    <row r="893" spans="2:42" x14ac:dyDescent="0.3">
      <c r="B893" s="39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AA893" s="39"/>
      <c r="AB893" s="40"/>
      <c r="AC893" s="40"/>
      <c r="AD893" s="40"/>
      <c r="AE893" s="40"/>
      <c r="AF893" s="40"/>
      <c r="AG893" s="40"/>
      <c r="AH893" s="40"/>
      <c r="AI893" s="40"/>
      <c r="AJ893" s="40"/>
      <c r="AK893" s="40"/>
    </row>
    <row r="894" spans="2:42" x14ac:dyDescent="0.3">
      <c r="B894" s="44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AA894" s="44"/>
      <c r="AB894" s="45"/>
      <c r="AC894" s="45"/>
      <c r="AD894" s="45"/>
      <c r="AE894" s="45"/>
      <c r="AF894" s="45"/>
      <c r="AG894" s="45"/>
      <c r="AH894" s="45"/>
      <c r="AI894" s="45"/>
      <c r="AJ894" s="45"/>
      <c r="AK894" s="45"/>
      <c r="AL894" s="45"/>
      <c r="AM894" s="43"/>
      <c r="AN894" s="43"/>
      <c r="AO894" s="43"/>
      <c r="AP894" s="43"/>
    </row>
    <row r="895" spans="2:42" x14ac:dyDescent="0.3">
      <c r="B895" s="39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AA895" s="39"/>
      <c r="AB895" s="40"/>
      <c r="AC895" s="40"/>
      <c r="AD895" s="40"/>
      <c r="AE895" s="40"/>
      <c r="AF895" s="40"/>
      <c r="AG895" s="40"/>
      <c r="AH895" s="40"/>
      <c r="AI895" s="40"/>
      <c r="AJ895" s="40"/>
      <c r="AK895" s="40"/>
    </row>
    <row r="896" spans="2:42" x14ac:dyDescent="0.3">
      <c r="B896" s="44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AA896" s="44"/>
      <c r="AB896" s="45"/>
      <c r="AC896" s="45"/>
      <c r="AD896" s="45"/>
      <c r="AE896" s="45"/>
      <c r="AF896" s="45"/>
      <c r="AG896" s="45"/>
      <c r="AH896" s="45"/>
      <c r="AI896" s="45"/>
      <c r="AJ896" s="45"/>
      <c r="AK896" s="45"/>
      <c r="AL896" s="45"/>
      <c r="AM896" s="43"/>
      <c r="AN896" s="43"/>
      <c r="AO896" s="43"/>
      <c r="AP896" s="43"/>
    </row>
    <row r="897" spans="2:42" x14ac:dyDescent="0.3">
      <c r="B897" s="39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AA897" s="39"/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</row>
    <row r="898" spans="2:42" x14ac:dyDescent="0.3">
      <c r="B898" s="44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AA898" s="44"/>
      <c r="AB898" s="45"/>
      <c r="AC898" s="45"/>
      <c r="AD898" s="45"/>
      <c r="AE898" s="45"/>
      <c r="AF898" s="45"/>
      <c r="AG898" s="45"/>
      <c r="AH898" s="45"/>
      <c r="AI898" s="45"/>
      <c r="AJ898" s="45"/>
      <c r="AK898" s="45"/>
      <c r="AL898" s="45"/>
      <c r="AM898" s="43"/>
      <c r="AN898" s="43"/>
      <c r="AO898" s="43"/>
      <c r="AP898" s="43"/>
    </row>
    <row r="899" spans="2:42" x14ac:dyDescent="0.3">
      <c r="B899" s="39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AA899" s="39"/>
      <c r="AB899" s="40"/>
      <c r="AC899" s="40"/>
      <c r="AD899" s="40"/>
      <c r="AE899" s="40"/>
      <c r="AF899" s="40"/>
      <c r="AG899" s="40"/>
      <c r="AH899" s="40"/>
      <c r="AI899" s="40"/>
      <c r="AJ899" s="40"/>
      <c r="AK899" s="40"/>
    </row>
    <row r="900" spans="2:42" x14ac:dyDescent="0.3">
      <c r="B900" s="44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AA900" s="44"/>
      <c r="AB900" s="45"/>
      <c r="AC900" s="45"/>
      <c r="AD900" s="45"/>
      <c r="AE900" s="45"/>
      <c r="AF900" s="45"/>
      <c r="AG900" s="45"/>
      <c r="AH900" s="45"/>
      <c r="AI900" s="45"/>
      <c r="AJ900" s="45"/>
      <c r="AK900" s="45"/>
      <c r="AL900" s="45"/>
      <c r="AM900" s="43"/>
      <c r="AN900" s="43"/>
      <c r="AO900" s="43"/>
      <c r="AP900" s="43"/>
    </row>
    <row r="901" spans="2:42" x14ac:dyDescent="0.3">
      <c r="B901" s="39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AA901" s="39"/>
      <c r="AB901" s="40"/>
      <c r="AC901" s="40"/>
      <c r="AD901" s="40"/>
      <c r="AE901" s="40"/>
      <c r="AF901" s="40"/>
      <c r="AG901" s="40"/>
      <c r="AH901" s="40"/>
      <c r="AI901" s="40"/>
      <c r="AJ901" s="40"/>
      <c r="AK901" s="40"/>
    </row>
    <row r="902" spans="2:42" x14ac:dyDescent="0.3">
      <c r="B902" s="44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AA902" s="44"/>
      <c r="AB902" s="45"/>
      <c r="AC902" s="45"/>
      <c r="AD902" s="45"/>
      <c r="AE902" s="45"/>
      <c r="AF902" s="45"/>
      <c r="AG902" s="45"/>
      <c r="AH902" s="45"/>
      <c r="AI902" s="45"/>
      <c r="AJ902" s="45"/>
      <c r="AK902" s="45"/>
      <c r="AL902" s="45"/>
      <c r="AM902" s="43"/>
      <c r="AN902" s="43"/>
      <c r="AO902" s="43"/>
      <c r="AP902" s="43"/>
    </row>
    <row r="903" spans="2:42" x14ac:dyDescent="0.3">
      <c r="B903" s="39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AA903" s="39"/>
      <c r="AB903" s="40"/>
      <c r="AC903" s="40"/>
      <c r="AD903" s="40"/>
      <c r="AE903" s="40"/>
      <c r="AF903" s="40"/>
      <c r="AG903" s="40"/>
      <c r="AH903" s="40"/>
      <c r="AI903" s="40"/>
      <c r="AJ903" s="40"/>
      <c r="AK903" s="40"/>
    </row>
    <row r="904" spans="2:42" x14ac:dyDescent="0.3">
      <c r="B904" s="44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AA904" s="44"/>
      <c r="AB904" s="45"/>
      <c r="AC904" s="45"/>
      <c r="AD904" s="45"/>
      <c r="AE904" s="45"/>
      <c r="AF904" s="45"/>
      <c r="AG904" s="45"/>
      <c r="AH904" s="45"/>
      <c r="AI904" s="45"/>
      <c r="AJ904" s="45"/>
      <c r="AK904" s="45"/>
      <c r="AL904" s="45"/>
      <c r="AM904" s="43"/>
      <c r="AN904" s="43"/>
      <c r="AO904" s="43"/>
      <c r="AP904" s="43"/>
    </row>
    <row r="905" spans="2:42" x14ac:dyDescent="0.3">
      <c r="B905" s="39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AA905" s="39"/>
      <c r="AB905" s="40"/>
      <c r="AC905" s="40"/>
      <c r="AD905" s="40"/>
      <c r="AE905" s="40"/>
      <c r="AF905" s="40"/>
      <c r="AG905" s="40"/>
      <c r="AH905" s="40"/>
      <c r="AI905" s="40"/>
      <c r="AJ905" s="40"/>
      <c r="AK905" s="40"/>
    </row>
    <row r="906" spans="2:42" x14ac:dyDescent="0.3">
      <c r="B906" s="44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AA906" s="44"/>
      <c r="AB906" s="45"/>
      <c r="AC906" s="45"/>
      <c r="AD906" s="45"/>
      <c r="AE906" s="45"/>
      <c r="AF906" s="45"/>
      <c r="AG906" s="45"/>
      <c r="AH906" s="45"/>
      <c r="AI906" s="45"/>
      <c r="AJ906" s="45"/>
      <c r="AK906" s="45"/>
      <c r="AL906" s="45"/>
      <c r="AM906" s="43"/>
      <c r="AN906" s="43"/>
      <c r="AO906" s="43"/>
      <c r="AP906" s="43"/>
    </row>
    <row r="907" spans="2:42" x14ac:dyDescent="0.3">
      <c r="B907" s="39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AA907" s="39"/>
      <c r="AB907" s="40"/>
      <c r="AC907" s="40"/>
      <c r="AD907" s="40"/>
      <c r="AE907" s="40"/>
      <c r="AF907" s="40"/>
      <c r="AG907" s="40"/>
      <c r="AH907" s="40"/>
      <c r="AI907" s="40"/>
      <c r="AJ907" s="40"/>
      <c r="AK907" s="40"/>
    </row>
    <row r="908" spans="2:42" x14ac:dyDescent="0.3">
      <c r="B908" s="44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AA908" s="44"/>
      <c r="AB908" s="45"/>
      <c r="AC908" s="45"/>
      <c r="AD908" s="45"/>
      <c r="AE908" s="45"/>
      <c r="AF908" s="45"/>
      <c r="AG908" s="45"/>
      <c r="AH908" s="45"/>
      <c r="AI908" s="45"/>
      <c r="AJ908" s="45"/>
      <c r="AK908" s="45"/>
      <c r="AL908" s="45"/>
      <c r="AM908" s="43"/>
      <c r="AN908" s="43"/>
      <c r="AO908" s="43"/>
      <c r="AP908" s="43"/>
    </row>
    <row r="909" spans="2:42" x14ac:dyDescent="0.3">
      <c r="B909" s="39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AA909" s="39"/>
      <c r="AB909" s="40"/>
      <c r="AC909" s="40"/>
      <c r="AD909" s="40"/>
      <c r="AE909" s="40"/>
      <c r="AF909" s="40"/>
      <c r="AG909" s="40"/>
      <c r="AH909" s="40"/>
      <c r="AI909" s="40"/>
      <c r="AJ909" s="40"/>
      <c r="AK909" s="40"/>
    </row>
    <row r="910" spans="2:42" x14ac:dyDescent="0.3">
      <c r="B910" s="44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AA910" s="44"/>
      <c r="AB910" s="45"/>
      <c r="AC910" s="45"/>
      <c r="AD910" s="45"/>
      <c r="AE910" s="45"/>
      <c r="AF910" s="45"/>
      <c r="AG910" s="45"/>
      <c r="AH910" s="45"/>
      <c r="AI910" s="45"/>
      <c r="AJ910" s="45"/>
      <c r="AK910" s="45"/>
      <c r="AL910" s="45"/>
      <c r="AM910" s="43"/>
      <c r="AN910" s="43"/>
      <c r="AO910" s="43"/>
      <c r="AP910" s="43"/>
    </row>
    <row r="911" spans="2:42" x14ac:dyDescent="0.3">
      <c r="B911" s="39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AA911" s="39"/>
      <c r="AB911" s="40"/>
      <c r="AC911" s="40"/>
      <c r="AD911" s="40"/>
      <c r="AE911" s="40"/>
      <c r="AF911" s="40"/>
      <c r="AG911" s="40"/>
      <c r="AH911" s="40"/>
      <c r="AI911" s="40"/>
      <c r="AJ911" s="40"/>
      <c r="AK911" s="40"/>
    </row>
    <row r="912" spans="2:42" x14ac:dyDescent="0.3">
      <c r="B912" s="44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AA912" s="44"/>
      <c r="AB912" s="45"/>
      <c r="AC912" s="45"/>
      <c r="AD912" s="45"/>
      <c r="AE912" s="45"/>
      <c r="AF912" s="45"/>
      <c r="AG912" s="45"/>
      <c r="AH912" s="45"/>
      <c r="AI912" s="45"/>
      <c r="AJ912" s="45"/>
      <c r="AK912" s="45"/>
      <c r="AL912" s="45"/>
      <c r="AM912" s="43"/>
      <c r="AN912" s="43"/>
      <c r="AO912" s="43"/>
      <c r="AP912" s="43"/>
    </row>
    <row r="913" spans="2:42" x14ac:dyDescent="0.3">
      <c r="B913" s="39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AA913" s="39"/>
      <c r="AB913" s="40"/>
      <c r="AC913" s="40"/>
      <c r="AD913" s="40"/>
      <c r="AE913" s="40"/>
      <c r="AF913" s="40"/>
      <c r="AG913" s="40"/>
      <c r="AH913" s="40"/>
      <c r="AI913" s="40"/>
      <c r="AJ913" s="40"/>
      <c r="AK913" s="40"/>
    </row>
    <row r="914" spans="2:42" x14ac:dyDescent="0.3">
      <c r="B914" s="44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AA914" s="44"/>
      <c r="AB914" s="45"/>
      <c r="AC914" s="45"/>
      <c r="AD914" s="45"/>
      <c r="AE914" s="45"/>
      <c r="AF914" s="45"/>
      <c r="AG914" s="45"/>
      <c r="AH914" s="45"/>
      <c r="AI914" s="45"/>
      <c r="AJ914" s="45"/>
      <c r="AK914" s="45"/>
      <c r="AL914" s="45"/>
      <c r="AM914" s="43"/>
      <c r="AN914" s="43"/>
      <c r="AO914" s="43"/>
      <c r="AP914" s="43"/>
    </row>
    <row r="915" spans="2:42" x14ac:dyDescent="0.3">
      <c r="B915" s="39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AA915" s="39"/>
      <c r="AB915" s="40"/>
      <c r="AC915" s="40"/>
      <c r="AD915" s="40"/>
      <c r="AE915" s="40"/>
      <c r="AF915" s="40"/>
      <c r="AG915" s="40"/>
      <c r="AH915" s="40"/>
      <c r="AI915" s="40"/>
      <c r="AJ915" s="40"/>
      <c r="AK915" s="40"/>
    </row>
    <row r="916" spans="2:42" x14ac:dyDescent="0.3">
      <c r="B916" s="44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AA916" s="44"/>
      <c r="AB916" s="45"/>
      <c r="AC916" s="45"/>
      <c r="AD916" s="45"/>
      <c r="AE916" s="45"/>
      <c r="AF916" s="45"/>
      <c r="AG916" s="45"/>
      <c r="AH916" s="45"/>
      <c r="AI916" s="45"/>
      <c r="AJ916" s="45"/>
      <c r="AK916" s="45"/>
      <c r="AL916" s="45"/>
      <c r="AM916" s="43"/>
      <c r="AN916" s="43"/>
      <c r="AO916" s="43"/>
      <c r="AP916" s="43"/>
    </row>
    <row r="917" spans="2:42" x14ac:dyDescent="0.3">
      <c r="B917" s="39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AA917" s="39"/>
      <c r="AB917" s="40"/>
      <c r="AC917" s="40"/>
      <c r="AD917" s="40"/>
      <c r="AE917" s="40"/>
      <c r="AF917" s="40"/>
      <c r="AG917" s="40"/>
      <c r="AH917" s="40"/>
      <c r="AI917" s="40"/>
      <c r="AJ917" s="40"/>
      <c r="AK917" s="40"/>
    </row>
    <row r="918" spans="2:42" x14ac:dyDescent="0.3">
      <c r="B918" s="44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AA918" s="44"/>
      <c r="AB918" s="45"/>
      <c r="AC918" s="45"/>
      <c r="AD918" s="45"/>
      <c r="AE918" s="45"/>
      <c r="AF918" s="45"/>
      <c r="AG918" s="45"/>
      <c r="AH918" s="45"/>
      <c r="AI918" s="45"/>
      <c r="AJ918" s="45"/>
      <c r="AK918" s="45"/>
      <c r="AL918" s="45"/>
      <c r="AM918" s="43"/>
      <c r="AN918" s="43"/>
      <c r="AO918" s="43"/>
      <c r="AP918" s="43"/>
    </row>
    <row r="919" spans="2:42" x14ac:dyDescent="0.3">
      <c r="B919" s="39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AA919" s="39"/>
      <c r="AB919" s="40"/>
      <c r="AC919" s="40"/>
      <c r="AD919" s="40"/>
      <c r="AE919" s="40"/>
      <c r="AF919" s="40"/>
      <c r="AG919" s="40"/>
      <c r="AH919" s="40"/>
      <c r="AI919" s="40"/>
      <c r="AJ919" s="40"/>
      <c r="AK919" s="40"/>
    </row>
    <row r="920" spans="2:42" x14ac:dyDescent="0.3">
      <c r="B920" s="44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AA920" s="44"/>
      <c r="AB920" s="45"/>
      <c r="AC920" s="45"/>
      <c r="AD920" s="45"/>
      <c r="AE920" s="45"/>
      <c r="AF920" s="45"/>
      <c r="AG920" s="45"/>
      <c r="AH920" s="45"/>
      <c r="AI920" s="45"/>
      <c r="AJ920" s="45"/>
      <c r="AK920" s="45"/>
      <c r="AL920" s="45"/>
      <c r="AM920" s="43"/>
      <c r="AN920" s="43"/>
      <c r="AO920" s="43"/>
      <c r="AP920" s="43"/>
    </row>
    <row r="921" spans="2:42" x14ac:dyDescent="0.3">
      <c r="B921" s="39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AA921" s="39"/>
      <c r="AB921" s="40"/>
      <c r="AC921" s="40"/>
      <c r="AD921" s="40"/>
      <c r="AE921" s="40"/>
      <c r="AF921" s="40"/>
      <c r="AG921" s="40"/>
      <c r="AH921" s="40"/>
      <c r="AI921" s="40"/>
      <c r="AJ921" s="40"/>
      <c r="AK921" s="40"/>
    </row>
    <row r="922" spans="2:42" x14ac:dyDescent="0.3">
      <c r="B922" s="44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AA922" s="44"/>
      <c r="AB922" s="45"/>
      <c r="AC922" s="45"/>
      <c r="AD922" s="45"/>
      <c r="AE922" s="45"/>
      <c r="AF922" s="45"/>
      <c r="AG922" s="45"/>
      <c r="AH922" s="45"/>
      <c r="AI922" s="45"/>
      <c r="AJ922" s="45"/>
      <c r="AK922" s="45"/>
      <c r="AL922" s="45"/>
      <c r="AM922" s="43"/>
      <c r="AN922" s="43"/>
      <c r="AO922" s="43"/>
      <c r="AP922" s="43"/>
    </row>
    <row r="923" spans="2:42" x14ac:dyDescent="0.3">
      <c r="B923" s="39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AA923" s="39"/>
      <c r="AB923" s="40"/>
      <c r="AC923" s="40"/>
      <c r="AD923" s="40"/>
      <c r="AE923" s="40"/>
      <c r="AF923" s="40"/>
      <c r="AG923" s="40"/>
      <c r="AH923" s="40"/>
      <c r="AI923" s="40"/>
      <c r="AJ923" s="40"/>
      <c r="AK923" s="40"/>
    </row>
    <row r="924" spans="2:42" x14ac:dyDescent="0.3">
      <c r="B924" s="44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AA924" s="44"/>
      <c r="AB924" s="45"/>
      <c r="AC924" s="45"/>
      <c r="AD924" s="45"/>
      <c r="AE924" s="45"/>
      <c r="AF924" s="45"/>
      <c r="AG924" s="45"/>
      <c r="AH924" s="45"/>
      <c r="AI924" s="45"/>
      <c r="AJ924" s="45"/>
      <c r="AK924" s="45"/>
      <c r="AL924" s="45"/>
      <c r="AM924" s="43"/>
      <c r="AN924" s="43"/>
      <c r="AO924" s="43"/>
      <c r="AP924" s="43"/>
    </row>
    <row r="925" spans="2:42" x14ac:dyDescent="0.3">
      <c r="B925" s="39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AA925" s="39"/>
      <c r="AB925" s="40"/>
      <c r="AC925" s="40"/>
      <c r="AD925" s="40"/>
      <c r="AE925" s="40"/>
      <c r="AF925" s="40"/>
      <c r="AG925" s="40"/>
      <c r="AH925" s="40"/>
      <c r="AI925" s="40"/>
      <c r="AJ925" s="40"/>
      <c r="AK925" s="40"/>
    </row>
    <row r="926" spans="2:42" x14ac:dyDescent="0.3">
      <c r="B926" s="44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AA926" s="44"/>
      <c r="AB926" s="45"/>
      <c r="AC926" s="45"/>
      <c r="AD926" s="45"/>
      <c r="AE926" s="45"/>
      <c r="AF926" s="45"/>
      <c r="AG926" s="45"/>
      <c r="AH926" s="45"/>
      <c r="AI926" s="45"/>
      <c r="AJ926" s="45"/>
      <c r="AK926" s="45"/>
      <c r="AL926" s="45"/>
      <c r="AM926" s="43"/>
      <c r="AN926" s="43"/>
      <c r="AO926" s="43"/>
      <c r="AP926" s="43"/>
    </row>
    <row r="927" spans="2:42" x14ac:dyDescent="0.3">
      <c r="B927" s="39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AA927" s="39"/>
      <c r="AB927" s="40"/>
      <c r="AC927" s="40"/>
      <c r="AD927" s="40"/>
      <c r="AE927" s="40"/>
      <c r="AF927" s="40"/>
      <c r="AG927" s="40"/>
      <c r="AH927" s="40"/>
      <c r="AI927" s="40"/>
      <c r="AJ927" s="40"/>
      <c r="AK927" s="40"/>
    </row>
    <row r="928" spans="2:42" x14ac:dyDescent="0.3">
      <c r="B928" s="44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AA928" s="44"/>
      <c r="AB928" s="45"/>
      <c r="AC928" s="45"/>
      <c r="AD928" s="45"/>
      <c r="AE928" s="45"/>
      <c r="AF928" s="45"/>
      <c r="AG928" s="45"/>
      <c r="AH928" s="45"/>
      <c r="AI928" s="45"/>
      <c r="AJ928" s="45"/>
      <c r="AK928" s="45"/>
      <c r="AL928" s="45"/>
      <c r="AM928" s="43"/>
      <c r="AN928" s="43"/>
      <c r="AO928" s="43"/>
      <c r="AP928" s="43"/>
    </row>
    <row r="929" spans="2:42" x14ac:dyDescent="0.3">
      <c r="B929" s="39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AA929" s="39"/>
      <c r="AB929" s="40"/>
      <c r="AC929" s="40"/>
      <c r="AD929" s="40"/>
      <c r="AE929" s="40"/>
      <c r="AF929" s="40"/>
      <c r="AG929" s="40"/>
      <c r="AH929" s="40"/>
      <c r="AI929" s="40"/>
      <c r="AJ929" s="40"/>
      <c r="AK929" s="40"/>
    </row>
    <row r="930" spans="2:42" x14ac:dyDescent="0.3">
      <c r="B930" s="44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AA930" s="44"/>
      <c r="AB930" s="45"/>
      <c r="AC930" s="45"/>
      <c r="AD930" s="45"/>
      <c r="AE930" s="45"/>
      <c r="AF930" s="45"/>
      <c r="AG930" s="45"/>
      <c r="AH930" s="45"/>
      <c r="AI930" s="45"/>
      <c r="AJ930" s="45"/>
      <c r="AK930" s="45"/>
      <c r="AL930" s="45"/>
      <c r="AM930" s="43"/>
      <c r="AN930" s="43"/>
      <c r="AO930" s="43"/>
      <c r="AP930" s="43"/>
    </row>
    <row r="931" spans="2:42" x14ac:dyDescent="0.3">
      <c r="B931" s="39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AA931" s="39"/>
      <c r="AB931" s="40"/>
      <c r="AC931" s="40"/>
      <c r="AD931" s="40"/>
      <c r="AE931" s="40"/>
      <c r="AF931" s="40"/>
      <c r="AG931" s="40"/>
      <c r="AH931" s="40"/>
      <c r="AI931" s="40"/>
      <c r="AJ931" s="40"/>
      <c r="AK931" s="40"/>
    </row>
    <row r="932" spans="2:42" x14ac:dyDescent="0.3">
      <c r="B932" s="44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AA932" s="44"/>
      <c r="AB932" s="45"/>
      <c r="AC932" s="45"/>
      <c r="AD932" s="45"/>
      <c r="AE932" s="45"/>
      <c r="AF932" s="45"/>
      <c r="AG932" s="45"/>
      <c r="AH932" s="45"/>
      <c r="AI932" s="45"/>
      <c r="AJ932" s="45"/>
      <c r="AK932" s="45"/>
      <c r="AL932" s="45"/>
      <c r="AM932" s="43"/>
      <c r="AN932" s="43"/>
      <c r="AO932" s="43"/>
      <c r="AP932" s="43"/>
    </row>
    <row r="933" spans="2:42" x14ac:dyDescent="0.3">
      <c r="B933" s="39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AA933" s="39"/>
      <c r="AB933" s="40"/>
      <c r="AC933" s="40"/>
      <c r="AD933" s="40"/>
      <c r="AE933" s="40"/>
      <c r="AF933" s="40"/>
      <c r="AG933" s="40"/>
      <c r="AH933" s="40"/>
      <c r="AI933" s="40"/>
      <c r="AJ933" s="40"/>
      <c r="AK933" s="40"/>
    </row>
    <row r="934" spans="2:42" x14ac:dyDescent="0.3">
      <c r="B934" s="44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AA934" s="44"/>
      <c r="AB934" s="45"/>
      <c r="AC934" s="45"/>
      <c r="AD934" s="45"/>
      <c r="AE934" s="45"/>
      <c r="AF934" s="45"/>
      <c r="AG934" s="45"/>
      <c r="AH934" s="45"/>
      <c r="AI934" s="45"/>
      <c r="AJ934" s="45"/>
      <c r="AK934" s="45"/>
      <c r="AL934" s="45"/>
      <c r="AM934" s="43"/>
      <c r="AN934" s="43"/>
      <c r="AO934" s="43"/>
      <c r="AP934" s="43"/>
    </row>
    <row r="935" spans="2:42" x14ac:dyDescent="0.3">
      <c r="B935" s="39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AA935" s="39"/>
      <c r="AB935" s="40"/>
      <c r="AC935" s="40"/>
      <c r="AD935" s="40"/>
      <c r="AE935" s="40"/>
      <c r="AF935" s="40"/>
      <c r="AG935" s="40"/>
      <c r="AH935" s="40"/>
      <c r="AI935" s="40"/>
      <c r="AJ935" s="40"/>
      <c r="AK935" s="40"/>
    </row>
    <row r="936" spans="2:42" x14ac:dyDescent="0.3">
      <c r="B936" s="44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AA936" s="44"/>
      <c r="AB936" s="45"/>
      <c r="AC936" s="45"/>
      <c r="AD936" s="45"/>
      <c r="AE936" s="45"/>
      <c r="AF936" s="45"/>
      <c r="AG936" s="45"/>
      <c r="AH936" s="45"/>
      <c r="AI936" s="45"/>
      <c r="AJ936" s="45"/>
      <c r="AK936" s="45"/>
      <c r="AL936" s="45"/>
      <c r="AM936" s="43"/>
      <c r="AN936" s="43"/>
      <c r="AO936" s="43"/>
      <c r="AP936" s="43"/>
    </row>
    <row r="937" spans="2:42" x14ac:dyDescent="0.3">
      <c r="B937" s="39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AA937" s="39"/>
      <c r="AB937" s="40"/>
      <c r="AC937" s="40"/>
      <c r="AD937" s="40"/>
      <c r="AE937" s="40"/>
      <c r="AF937" s="40"/>
      <c r="AG937" s="40"/>
      <c r="AH937" s="40"/>
      <c r="AI937" s="40"/>
      <c r="AJ937" s="40"/>
      <c r="AK937" s="40"/>
    </row>
    <row r="938" spans="2:42" x14ac:dyDescent="0.3">
      <c r="B938" s="44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AA938" s="44"/>
      <c r="AB938" s="45"/>
      <c r="AC938" s="45"/>
      <c r="AD938" s="45"/>
      <c r="AE938" s="45"/>
      <c r="AF938" s="45"/>
      <c r="AG938" s="45"/>
      <c r="AH938" s="45"/>
      <c r="AI938" s="45"/>
      <c r="AJ938" s="45"/>
      <c r="AK938" s="45"/>
      <c r="AL938" s="45"/>
      <c r="AM938" s="43"/>
      <c r="AN938" s="43"/>
      <c r="AO938" s="43"/>
      <c r="AP938" s="43"/>
    </row>
    <row r="939" spans="2:42" x14ac:dyDescent="0.3">
      <c r="B939" s="39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AA939" s="39"/>
      <c r="AB939" s="40"/>
      <c r="AC939" s="40"/>
      <c r="AD939" s="40"/>
      <c r="AE939" s="40"/>
      <c r="AF939" s="40"/>
      <c r="AG939" s="40"/>
      <c r="AH939" s="40"/>
      <c r="AI939" s="40"/>
      <c r="AJ939" s="40"/>
      <c r="AK939" s="40"/>
    </row>
    <row r="940" spans="2:42" x14ac:dyDescent="0.3">
      <c r="B940" s="44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AA940" s="44"/>
      <c r="AB940" s="45"/>
      <c r="AC940" s="45"/>
      <c r="AD940" s="45"/>
      <c r="AE940" s="45"/>
      <c r="AF940" s="45"/>
      <c r="AG940" s="45"/>
      <c r="AH940" s="45"/>
      <c r="AI940" s="45"/>
      <c r="AJ940" s="45"/>
      <c r="AK940" s="45"/>
      <c r="AL940" s="45"/>
      <c r="AM940" s="43"/>
      <c r="AN940" s="43"/>
      <c r="AO940" s="43"/>
      <c r="AP940" s="43"/>
    </row>
    <row r="941" spans="2:42" x14ac:dyDescent="0.3">
      <c r="B941" s="39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AA941" s="39"/>
      <c r="AB941" s="40"/>
      <c r="AC941" s="40"/>
      <c r="AD941" s="40"/>
      <c r="AE941" s="40"/>
      <c r="AF941" s="40"/>
      <c r="AG941" s="40"/>
      <c r="AH941" s="40"/>
      <c r="AI941" s="40"/>
      <c r="AJ941" s="40"/>
      <c r="AK941" s="40"/>
    </row>
    <row r="942" spans="2:42" x14ac:dyDescent="0.3">
      <c r="B942" s="44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AA942" s="44"/>
      <c r="AB942" s="45"/>
      <c r="AC942" s="45"/>
      <c r="AD942" s="45"/>
      <c r="AE942" s="45"/>
      <c r="AF942" s="45"/>
      <c r="AG942" s="45"/>
      <c r="AH942" s="45"/>
      <c r="AI942" s="45"/>
      <c r="AJ942" s="45"/>
      <c r="AK942" s="45"/>
      <c r="AL942" s="45"/>
      <c r="AM942" s="43"/>
      <c r="AN942" s="43"/>
      <c r="AO942" s="43"/>
      <c r="AP942" s="43"/>
    </row>
    <row r="943" spans="2:42" x14ac:dyDescent="0.3">
      <c r="B943" s="39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AA943" s="39"/>
      <c r="AB943" s="40"/>
      <c r="AC943" s="40"/>
      <c r="AD943" s="40"/>
      <c r="AE943" s="40"/>
      <c r="AF943" s="40"/>
      <c r="AG943" s="40"/>
      <c r="AH943" s="40"/>
      <c r="AI943" s="40"/>
      <c r="AJ943" s="40"/>
      <c r="AK943" s="40"/>
    </row>
    <row r="944" spans="2:42" x14ac:dyDescent="0.3">
      <c r="B944" s="44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AA944" s="44"/>
      <c r="AB944" s="45"/>
      <c r="AC944" s="45"/>
      <c r="AD944" s="45"/>
      <c r="AE944" s="45"/>
      <c r="AF944" s="45"/>
      <c r="AG944" s="45"/>
      <c r="AH944" s="45"/>
      <c r="AI944" s="45"/>
      <c r="AJ944" s="45"/>
      <c r="AK944" s="45"/>
      <c r="AL944" s="45"/>
      <c r="AM944" s="43"/>
      <c r="AN944" s="43"/>
      <c r="AO944" s="43"/>
      <c r="AP944" s="43"/>
    </row>
    <row r="945" spans="2:42" x14ac:dyDescent="0.3">
      <c r="B945" s="39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AA945" s="39"/>
      <c r="AB945" s="40"/>
      <c r="AC945" s="40"/>
      <c r="AD945" s="40"/>
      <c r="AE945" s="40"/>
      <c r="AF945" s="40"/>
      <c r="AG945" s="40"/>
      <c r="AH945" s="40"/>
      <c r="AI945" s="40"/>
      <c r="AJ945" s="40"/>
      <c r="AK945" s="40"/>
    </row>
    <row r="946" spans="2:42" x14ac:dyDescent="0.3">
      <c r="B946" s="44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AA946" s="44"/>
      <c r="AB946" s="45"/>
      <c r="AC946" s="45"/>
      <c r="AD946" s="45"/>
      <c r="AE946" s="45"/>
      <c r="AF946" s="45"/>
      <c r="AG946" s="45"/>
      <c r="AH946" s="45"/>
      <c r="AI946" s="45"/>
      <c r="AJ946" s="45"/>
      <c r="AK946" s="45"/>
      <c r="AL946" s="45"/>
      <c r="AM946" s="43"/>
      <c r="AN946" s="43"/>
      <c r="AO946" s="43"/>
      <c r="AP946" s="43"/>
    </row>
    <row r="947" spans="2:42" x14ac:dyDescent="0.3">
      <c r="B947" s="39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AA947" s="39"/>
      <c r="AB947" s="40"/>
      <c r="AC947" s="40"/>
      <c r="AD947" s="40"/>
      <c r="AE947" s="40"/>
      <c r="AF947" s="40"/>
      <c r="AG947" s="40"/>
      <c r="AH947" s="40"/>
      <c r="AI947" s="40"/>
      <c r="AJ947" s="40"/>
      <c r="AK947" s="40"/>
    </row>
    <row r="948" spans="2:42" x14ac:dyDescent="0.3">
      <c r="B948" s="44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AA948" s="44"/>
      <c r="AB948" s="45"/>
      <c r="AC948" s="45"/>
      <c r="AD948" s="45"/>
      <c r="AE948" s="45"/>
      <c r="AF948" s="45"/>
      <c r="AG948" s="45"/>
      <c r="AH948" s="45"/>
      <c r="AI948" s="45"/>
      <c r="AJ948" s="45"/>
      <c r="AK948" s="45"/>
      <c r="AL948" s="45"/>
      <c r="AM948" s="43"/>
      <c r="AN948" s="43"/>
      <c r="AO948" s="43"/>
      <c r="AP948" s="43"/>
    </row>
    <row r="949" spans="2:42" x14ac:dyDescent="0.3">
      <c r="B949" s="39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AA949" s="39"/>
      <c r="AB949" s="40"/>
      <c r="AC949" s="40"/>
      <c r="AD949" s="40"/>
      <c r="AE949" s="40"/>
      <c r="AF949" s="40"/>
      <c r="AG949" s="40"/>
      <c r="AH949" s="40"/>
      <c r="AI949" s="40"/>
      <c r="AJ949" s="40"/>
      <c r="AK949" s="40"/>
    </row>
    <row r="950" spans="2:42" x14ac:dyDescent="0.3">
      <c r="B950" s="44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AA950" s="44"/>
      <c r="AB950" s="45"/>
      <c r="AC950" s="45"/>
      <c r="AD950" s="45"/>
      <c r="AE950" s="45"/>
      <c r="AF950" s="45"/>
      <c r="AG950" s="45"/>
      <c r="AH950" s="45"/>
      <c r="AI950" s="45"/>
      <c r="AJ950" s="45"/>
      <c r="AK950" s="45"/>
      <c r="AL950" s="45"/>
      <c r="AM950" s="43"/>
      <c r="AN950" s="43"/>
      <c r="AO950" s="43"/>
      <c r="AP950" s="43"/>
    </row>
    <row r="951" spans="2:42" x14ac:dyDescent="0.3">
      <c r="B951" s="39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AA951" s="39"/>
      <c r="AB951" s="40"/>
      <c r="AC951" s="40"/>
      <c r="AD951" s="40"/>
      <c r="AE951" s="40"/>
      <c r="AF951" s="40"/>
      <c r="AG951" s="40"/>
      <c r="AH951" s="40"/>
      <c r="AI951" s="40"/>
      <c r="AJ951" s="40"/>
      <c r="AK951" s="40"/>
    </row>
    <row r="952" spans="2:42" x14ac:dyDescent="0.3">
      <c r="B952" s="44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AA952" s="44"/>
      <c r="AB952" s="45"/>
      <c r="AC952" s="45"/>
      <c r="AD952" s="45"/>
      <c r="AE952" s="45"/>
      <c r="AF952" s="45"/>
      <c r="AG952" s="45"/>
      <c r="AH952" s="45"/>
      <c r="AI952" s="45"/>
      <c r="AJ952" s="45"/>
      <c r="AK952" s="45"/>
      <c r="AL952" s="45"/>
      <c r="AM952" s="43"/>
      <c r="AN952" s="43"/>
      <c r="AO952" s="43"/>
      <c r="AP952" s="43"/>
    </row>
    <row r="953" spans="2:42" x14ac:dyDescent="0.3">
      <c r="B953" s="39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AA953" s="39"/>
      <c r="AB953" s="40"/>
      <c r="AC953" s="40"/>
      <c r="AD953" s="40"/>
      <c r="AE953" s="40"/>
      <c r="AF953" s="40"/>
      <c r="AG953" s="40"/>
      <c r="AH953" s="40"/>
      <c r="AI953" s="40"/>
      <c r="AJ953" s="40"/>
      <c r="AK953" s="40"/>
    </row>
    <row r="954" spans="2:42" x14ac:dyDescent="0.3">
      <c r="B954" s="44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AA954" s="44"/>
      <c r="AB954" s="45"/>
      <c r="AC954" s="45"/>
      <c r="AD954" s="45"/>
      <c r="AE954" s="45"/>
      <c r="AF954" s="45"/>
      <c r="AG954" s="45"/>
      <c r="AH954" s="45"/>
      <c r="AI954" s="45"/>
      <c r="AJ954" s="45"/>
      <c r="AK954" s="45"/>
      <c r="AL954" s="45"/>
      <c r="AM954" s="43"/>
      <c r="AN954" s="43"/>
      <c r="AO954" s="43"/>
      <c r="AP954" s="43"/>
    </row>
    <row r="955" spans="2:42" x14ac:dyDescent="0.3">
      <c r="B955" s="39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AA955" s="39"/>
      <c r="AB955" s="40"/>
      <c r="AC955" s="40"/>
      <c r="AD955" s="40"/>
      <c r="AE955" s="40"/>
      <c r="AF955" s="40"/>
      <c r="AG955" s="40"/>
      <c r="AH955" s="40"/>
      <c r="AI955" s="40"/>
      <c r="AJ955" s="40"/>
      <c r="AK955" s="40"/>
    </row>
    <row r="956" spans="2:42" x14ac:dyDescent="0.3">
      <c r="B956" s="44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AA956" s="44"/>
      <c r="AB956" s="45"/>
      <c r="AC956" s="45"/>
      <c r="AD956" s="45"/>
      <c r="AE956" s="45"/>
      <c r="AF956" s="45"/>
      <c r="AG956" s="45"/>
      <c r="AH956" s="45"/>
      <c r="AI956" s="45"/>
      <c r="AJ956" s="45"/>
      <c r="AK956" s="45"/>
      <c r="AL956" s="45"/>
      <c r="AM956" s="43"/>
      <c r="AN956" s="43"/>
      <c r="AO956" s="43"/>
      <c r="AP956" s="43"/>
    </row>
    <row r="957" spans="2:42" x14ac:dyDescent="0.3">
      <c r="B957" s="39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AA957" s="39"/>
      <c r="AB957" s="40"/>
      <c r="AC957" s="40"/>
      <c r="AD957" s="40"/>
      <c r="AE957" s="40"/>
      <c r="AF957" s="40"/>
      <c r="AG957" s="40"/>
      <c r="AH957" s="40"/>
      <c r="AI957" s="40"/>
      <c r="AJ957" s="40"/>
      <c r="AK957" s="40"/>
    </row>
    <row r="958" spans="2:42" x14ac:dyDescent="0.3">
      <c r="B958" s="44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AA958" s="44"/>
      <c r="AB958" s="45"/>
      <c r="AC958" s="45"/>
      <c r="AD958" s="45"/>
      <c r="AE958" s="45"/>
      <c r="AF958" s="45"/>
      <c r="AG958" s="45"/>
      <c r="AH958" s="45"/>
      <c r="AI958" s="45"/>
      <c r="AJ958" s="45"/>
      <c r="AK958" s="45"/>
      <c r="AL958" s="45"/>
      <c r="AM958" s="43"/>
      <c r="AN958" s="43"/>
      <c r="AO958" s="43"/>
      <c r="AP958" s="43"/>
    </row>
    <row r="959" spans="2:42" x14ac:dyDescent="0.3">
      <c r="B959" s="39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AA959" s="39"/>
      <c r="AB959" s="40"/>
      <c r="AC959" s="40"/>
      <c r="AD959" s="40"/>
      <c r="AE959" s="40"/>
      <c r="AF959" s="40"/>
      <c r="AG959" s="40"/>
      <c r="AH959" s="40"/>
      <c r="AI959" s="40"/>
      <c r="AJ959" s="40"/>
      <c r="AK959" s="40"/>
    </row>
    <row r="960" spans="2:42" x14ac:dyDescent="0.3">
      <c r="B960" s="44"/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AA960" s="44"/>
      <c r="AB960" s="45"/>
      <c r="AC960" s="45"/>
      <c r="AD960" s="45"/>
      <c r="AE960" s="45"/>
      <c r="AF960" s="45"/>
      <c r="AG960" s="45"/>
      <c r="AH960" s="45"/>
      <c r="AI960" s="45"/>
      <c r="AJ960" s="45"/>
      <c r="AK960" s="45"/>
      <c r="AL960" s="45"/>
      <c r="AM960" s="43"/>
      <c r="AN960" s="43"/>
      <c r="AO960" s="43"/>
      <c r="AP960" s="43"/>
    </row>
    <row r="961" spans="2:42" x14ac:dyDescent="0.3">
      <c r="B961" s="39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AA961" s="39"/>
      <c r="AB961" s="40"/>
      <c r="AC961" s="40"/>
      <c r="AD961" s="40"/>
      <c r="AE961" s="40"/>
      <c r="AF961" s="40"/>
      <c r="AG961" s="40"/>
      <c r="AH961" s="40"/>
      <c r="AI961" s="40"/>
      <c r="AJ961" s="40"/>
      <c r="AK961" s="40"/>
    </row>
    <row r="962" spans="2:42" x14ac:dyDescent="0.3">
      <c r="B962" s="44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AA962" s="44"/>
      <c r="AB962" s="45"/>
      <c r="AC962" s="45"/>
      <c r="AD962" s="45"/>
      <c r="AE962" s="45"/>
      <c r="AF962" s="45"/>
      <c r="AG962" s="45"/>
      <c r="AH962" s="45"/>
      <c r="AI962" s="45"/>
      <c r="AJ962" s="45"/>
      <c r="AK962" s="45"/>
      <c r="AL962" s="45"/>
      <c r="AM962" s="43"/>
      <c r="AN962" s="43"/>
      <c r="AO962" s="43"/>
      <c r="AP962" s="43"/>
    </row>
    <row r="963" spans="2:42" x14ac:dyDescent="0.3">
      <c r="B963" s="39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AA963" s="39"/>
      <c r="AB963" s="40"/>
      <c r="AC963" s="40"/>
      <c r="AD963" s="40"/>
      <c r="AE963" s="40"/>
      <c r="AF963" s="40"/>
      <c r="AG963" s="40"/>
      <c r="AH963" s="40"/>
      <c r="AI963" s="40"/>
      <c r="AJ963" s="40"/>
      <c r="AK963" s="40"/>
    </row>
    <row r="964" spans="2:42" x14ac:dyDescent="0.3">
      <c r="B964" s="44"/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AA964" s="44"/>
      <c r="AB964" s="45"/>
      <c r="AC964" s="45"/>
      <c r="AD964" s="45"/>
      <c r="AE964" s="45"/>
      <c r="AF964" s="45"/>
      <c r="AG964" s="45"/>
      <c r="AH964" s="45"/>
      <c r="AI964" s="45"/>
      <c r="AJ964" s="45"/>
      <c r="AK964" s="45"/>
      <c r="AL964" s="45"/>
      <c r="AM964" s="43"/>
      <c r="AN964" s="43"/>
      <c r="AO964" s="43"/>
      <c r="AP964" s="43"/>
    </row>
    <row r="965" spans="2:42" x14ac:dyDescent="0.3">
      <c r="B965" s="39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AA965" s="39"/>
      <c r="AB965" s="40"/>
      <c r="AC965" s="40"/>
      <c r="AD965" s="40"/>
      <c r="AE965" s="40"/>
      <c r="AF965" s="40"/>
      <c r="AG965" s="40"/>
      <c r="AH965" s="40"/>
      <c r="AI965" s="40"/>
      <c r="AJ965" s="40"/>
      <c r="AK965" s="40"/>
    </row>
    <row r="966" spans="2:42" x14ac:dyDescent="0.3">
      <c r="B966" s="44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AA966" s="44"/>
      <c r="AB966" s="45"/>
      <c r="AC966" s="45"/>
      <c r="AD966" s="45"/>
      <c r="AE966" s="45"/>
      <c r="AF966" s="45"/>
      <c r="AG966" s="45"/>
      <c r="AH966" s="45"/>
      <c r="AI966" s="45"/>
      <c r="AJ966" s="45"/>
      <c r="AK966" s="45"/>
      <c r="AL966" s="45"/>
      <c r="AM966" s="43"/>
      <c r="AN966" s="43"/>
      <c r="AO966" s="43"/>
      <c r="AP966" s="43"/>
    </row>
    <row r="967" spans="2:42" x14ac:dyDescent="0.3">
      <c r="B967" s="39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AA967" s="39"/>
      <c r="AB967" s="40"/>
      <c r="AC967" s="40"/>
      <c r="AD967" s="40"/>
      <c r="AE967" s="40"/>
      <c r="AF967" s="40"/>
      <c r="AG967" s="40"/>
      <c r="AH967" s="40"/>
      <c r="AI967" s="40"/>
      <c r="AJ967" s="40"/>
      <c r="AK967" s="40"/>
    </row>
    <row r="968" spans="2:42" x14ac:dyDescent="0.3">
      <c r="B968" s="44"/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AA968" s="44"/>
      <c r="AB968" s="45"/>
      <c r="AC968" s="45"/>
      <c r="AD968" s="45"/>
      <c r="AE968" s="45"/>
      <c r="AF968" s="45"/>
      <c r="AG968" s="45"/>
      <c r="AH968" s="45"/>
      <c r="AI968" s="45"/>
      <c r="AJ968" s="45"/>
      <c r="AK968" s="45"/>
      <c r="AL968" s="45"/>
      <c r="AM968" s="43"/>
      <c r="AN968" s="43"/>
      <c r="AO968" s="43"/>
      <c r="AP968" s="43"/>
    </row>
    <row r="969" spans="2:42" x14ac:dyDescent="0.3">
      <c r="B969" s="39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AA969" s="39"/>
      <c r="AB969" s="40"/>
      <c r="AC969" s="40"/>
      <c r="AD969" s="40"/>
      <c r="AE969" s="40"/>
      <c r="AF969" s="40"/>
      <c r="AG969" s="40"/>
      <c r="AH969" s="40"/>
      <c r="AI969" s="40"/>
      <c r="AJ969" s="40"/>
      <c r="AK969" s="40"/>
    </row>
    <row r="970" spans="2:42" x14ac:dyDescent="0.3">
      <c r="B970" s="44"/>
      <c r="C970" s="45"/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AA970" s="44"/>
      <c r="AB970" s="45"/>
      <c r="AC970" s="45"/>
      <c r="AD970" s="45"/>
      <c r="AE970" s="45"/>
      <c r="AF970" s="45"/>
      <c r="AG970" s="45"/>
      <c r="AH970" s="45"/>
      <c r="AI970" s="45"/>
      <c r="AJ970" s="45"/>
      <c r="AK970" s="45"/>
      <c r="AL970" s="45"/>
      <c r="AM970" s="43"/>
      <c r="AN970" s="43"/>
      <c r="AO970" s="43"/>
      <c r="AP970" s="43"/>
    </row>
    <row r="971" spans="2:42" x14ac:dyDescent="0.3">
      <c r="B971" s="39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AA971" s="39"/>
      <c r="AB971" s="40"/>
      <c r="AC971" s="40"/>
      <c r="AD971" s="40"/>
      <c r="AE971" s="40"/>
      <c r="AF971" s="40"/>
      <c r="AG971" s="40"/>
      <c r="AH971" s="40"/>
      <c r="AI971" s="40"/>
      <c r="AJ971" s="40"/>
      <c r="AK971" s="40"/>
    </row>
    <row r="972" spans="2:42" x14ac:dyDescent="0.3">
      <c r="B972" s="44"/>
      <c r="C972" s="45"/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AA972" s="44"/>
      <c r="AB972" s="45"/>
      <c r="AC972" s="45"/>
      <c r="AD972" s="45"/>
      <c r="AE972" s="45"/>
      <c r="AF972" s="45"/>
      <c r="AG972" s="45"/>
      <c r="AH972" s="45"/>
      <c r="AI972" s="45"/>
      <c r="AJ972" s="45"/>
      <c r="AK972" s="45"/>
      <c r="AL972" s="45"/>
      <c r="AM972" s="43"/>
      <c r="AN972" s="43"/>
      <c r="AO972" s="43"/>
      <c r="AP972" s="43"/>
    </row>
    <row r="973" spans="2:42" x14ac:dyDescent="0.3">
      <c r="B973" s="39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AA973" s="39"/>
      <c r="AB973" s="40"/>
      <c r="AC973" s="40"/>
      <c r="AD973" s="40"/>
      <c r="AE973" s="40"/>
      <c r="AF973" s="40"/>
      <c r="AG973" s="40"/>
      <c r="AH973" s="40"/>
      <c r="AI973" s="40"/>
      <c r="AJ973" s="40"/>
      <c r="AK973" s="40"/>
    </row>
    <row r="974" spans="2:42" x14ac:dyDescent="0.3">
      <c r="B974" s="44"/>
      <c r="C974" s="45"/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AA974" s="44"/>
      <c r="AB974" s="45"/>
      <c r="AC974" s="45"/>
      <c r="AD974" s="45"/>
      <c r="AE974" s="45"/>
      <c r="AF974" s="45"/>
      <c r="AG974" s="45"/>
      <c r="AH974" s="45"/>
      <c r="AI974" s="45"/>
      <c r="AJ974" s="45"/>
      <c r="AK974" s="45"/>
      <c r="AL974" s="45"/>
      <c r="AM974" s="43"/>
      <c r="AN974" s="43"/>
      <c r="AO974" s="43"/>
      <c r="AP974" s="43"/>
    </row>
    <row r="975" spans="2:42" x14ac:dyDescent="0.3">
      <c r="B975" s="39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AA975" s="39"/>
      <c r="AB975" s="40"/>
      <c r="AC975" s="40"/>
      <c r="AD975" s="40"/>
      <c r="AE975" s="40"/>
      <c r="AF975" s="40"/>
      <c r="AG975" s="40"/>
      <c r="AH975" s="40"/>
      <c r="AI975" s="40"/>
      <c r="AJ975" s="40"/>
      <c r="AK975" s="40"/>
    </row>
    <row r="976" spans="2:42" x14ac:dyDescent="0.3">
      <c r="B976" s="44"/>
      <c r="C976" s="45"/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AA976" s="44"/>
      <c r="AB976" s="45"/>
      <c r="AC976" s="45"/>
      <c r="AD976" s="45"/>
      <c r="AE976" s="45"/>
      <c r="AF976" s="45"/>
      <c r="AG976" s="45"/>
      <c r="AH976" s="45"/>
      <c r="AI976" s="45"/>
      <c r="AJ976" s="45"/>
      <c r="AK976" s="45"/>
      <c r="AL976" s="45"/>
      <c r="AM976" s="43"/>
      <c r="AN976" s="43"/>
      <c r="AO976" s="43"/>
      <c r="AP976" s="43"/>
    </row>
    <row r="977" spans="2:42" x14ac:dyDescent="0.3">
      <c r="B977" s="39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AA977" s="39"/>
      <c r="AB977" s="40"/>
      <c r="AC977" s="40"/>
      <c r="AD977" s="40"/>
      <c r="AE977" s="40"/>
      <c r="AF977" s="40"/>
      <c r="AG977" s="40"/>
      <c r="AH977" s="40"/>
      <c r="AI977" s="40"/>
      <c r="AJ977" s="40"/>
      <c r="AK977" s="40"/>
    </row>
    <row r="978" spans="2:42" x14ac:dyDescent="0.3">
      <c r="B978" s="44"/>
      <c r="C978" s="45"/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AA978" s="44"/>
      <c r="AB978" s="45"/>
      <c r="AC978" s="45"/>
      <c r="AD978" s="45"/>
      <c r="AE978" s="45"/>
      <c r="AF978" s="45"/>
      <c r="AG978" s="45"/>
      <c r="AH978" s="45"/>
      <c r="AI978" s="45"/>
      <c r="AJ978" s="45"/>
      <c r="AK978" s="45"/>
      <c r="AL978" s="45"/>
      <c r="AM978" s="43"/>
      <c r="AN978" s="43"/>
      <c r="AO978" s="43"/>
      <c r="AP978" s="43"/>
    </row>
    <row r="979" spans="2:42" x14ac:dyDescent="0.3">
      <c r="B979" s="39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AA979" s="39"/>
      <c r="AB979" s="40"/>
      <c r="AC979" s="40"/>
      <c r="AD979" s="40"/>
      <c r="AE979" s="40"/>
      <c r="AF979" s="40"/>
      <c r="AG979" s="40"/>
      <c r="AH979" s="40"/>
      <c r="AI979" s="40"/>
      <c r="AJ979" s="40"/>
      <c r="AK979" s="40"/>
    </row>
    <row r="980" spans="2:42" x14ac:dyDescent="0.3">
      <c r="B980" s="44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AA980" s="44"/>
      <c r="AB980" s="45"/>
      <c r="AC980" s="45"/>
      <c r="AD980" s="45"/>
      <c r="AE980" s="45"/>
      <c r="AF980" s="45"/>
      <c r="AG980" s="45"/>
      <c r="AH980" s="45"/>
      <c r="AI980" s="45"/>
      <c r="AJ980" s="45"/>
      <c r="AK980" s="45"/>
      <c r="AL980" s="45"/>
      <c r="AM980" s="43"/>
      <c r="AN980" s="43"/>
      <c r="AO980" s="43"/>
      <c r="AP980" s="43"/>
    </row>
    <row r="981" spans="2:42" x14ac:dyDescent="0.3">
      <c r="B981" s="39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AA981" s="39"/>
      <c r="AB981" s="40"/>
      <c r="AC981" s="40"/>
      <c r="AD981" s="40"/>
      <c r="AE981" s="40"/>
      <c r="AF981" s="40"/>
      <c r="AG981" s="40"/>
      <c r="AH981" s="40"/>
      <c r="AI981" s="40"/>
      <c r="AJ981" s="40"/>
      <c r="AK981" s="40"/>
    </row>
    <row r="982" spans="2:42" x14ac:dyDescent="0.3">
      <c r="B982" s="44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AA982" s="44"/>
      <c r="AB982" s="45"/>
      <c r="AC982" s="45"/>
      <c r="AD982" s="45"/>
      <c r="AE982" s="45"/>
      <c r="AF982" s="45"/>
      <c r="AG982" s="45"/>
      <c r="AH982" s="45"/>
      <c r="AI982" s="45"/>
      <c r="AJ982" s="45"/>
      <c r="AK982" s="45"/>
      <c r="AL982" s="45"/>
      <c r="AM982" s="43"/>
      <c r="AN982" s="43"/>
      <c r="AO982" s="43"/>
      <c r="AP982" s="43"/>
    </row>
    <row r="983" spans="2:42" x14ac:dyDescent="0.3">
      <c r="B983" s="39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AA983" s="39"/>
      <c r="AB983" s="40"/>
      <c r="AC983" s="40"/>
      <c r="AD983" s="40"/>
      <c r="AE983" s="40"/>
      <c r="AF983" s="40"/>
      <c r="AG983" s="40"/>
      <c r="AH983" s="40"/>
      <c r="AI983" s="40"/>
      <c r="AJ983" s="40"/>
      <c r="AK983" s="40"/>
    </row>
    <row r="984" spans="2:42" x14ac:dyDescent="0.3">
      <c r="B984" s="44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AA984" s="44"/>
      <c r="AB984" s="45"/>
      <c r="AC984" s="45"/>
      <c r="AD984" s="45"/>
      <c r="AE984" s="45"/>
      <c r="AF984" s="45"/>
      <c r="AG984" s="45"/>
      <c r="AH984" s="45"/>
      <c r="AI984" s="45"/>
      <c r="AJ984" s="45"/>
      <c r="AK984" s="45"/>
      <c r="AL984" s="45"/>
      <c r="AM984" s="43"/>
      <c r="AN984" s="43"/>
      <c r="AO984" s="43"/>
      <c r="AP984" s="43"/>
    </row>
    <row r="985" spans="2:42" x14ac:dyDescent="0.3">
      <c r="B985" s="39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AA985" s="39"/>
      <c r="AB985" s="40"/>
      <c r="AC985" s="40"/>
      <c r="AD985" s="40"/>
      <c r="AE985" s="40"/>
      <c r="AF985" s="40"/>
      <c r="AG985" s="40"/>
      <c r="AH985" s="40"/>
      <c r="AI985" s="40"/>
      <c r="AJ985" s="40"/>
      <c r="AK985" s="40"/>
    </row>
    <row r="986" spans="2:42" x14ac:dyDescent="0.3">
      <c r="B986" s="44"/>
      <c r="C986" s="45"/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AA986" s="44"/>
      <c r="AB986" s="45"/>
      <c r="AC986" s="45"/>
      <c r="AD986" s="45"/>
      <c r="AE986" s="45"/>
      <c r="AF986" s="45"/>
      <c r="AG986" s="45"/>
      <c r="AH986" s="45"/>
      <c r="AI986" s="45"/>
      <c r="AJ986" s="45"/>
      <c r="AK986" s="45"/>
      <c r="AL986" s="45"/>
      <c r="AM986" s="43"/>
      <c r="AN986" s="43"/>
      <c r="AO986" s="43"/>
      <c r="AP986" s="43"/>
    </row>
    <row r="987" spans="2:42" x14ac:dyDescent="0.3">
      <c r="B987" s="39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AA987" s="39"/>
      <c r="AB987" s="40"/>
      <c r="AC987" s="40"/>
      <c r="AD987" s="40"/>
      <c r="AE987" s="40"/>
      <c r="AF987" s="40"/>
      <c r="AG987" s="40"/>
      <c r="AH987" s="40"/>
      <c r="AI987" s="40"/>
      <c r="AJ987" s="40"/>
      <c r="AK987" s="40"/>
    </row>
    <row r="988" spans="2:42" x14ac:dyDescent="0.3">
      <c r="B988" s="44"/>
      <c r="C988" s="45"/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AA988" s="44"/>
      <c r="AB988" s="45"/>
      <c r="AC988" s="45"/>
      <c r="AD988" s="45"/>
      <c r="AE988" s="45"/>
      <c r="AF988" s="45"/>
      <c r="AG988" s="45"/>
      <c r="AH988" s="45"/>
      <c r="AI988" s="45"/>
      <c r="AJ988" s="45"/>
      <c r="AK988" s="45"/>
      <c r="AL988" s="45"/>
      <c r="AM988" s="43"/>
      <c r="AN988" s="43"/>
      <c r="AO988" s="43"/>
      <c r="AP988" s="43"/>
    </row>
    <row r="989" spans="2:42" x14ac:dyDescent="0.3">
      <c r="B989" s="39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AA989" s="39"/>
      <c r="AB989" s="40"/>
      <c r="AC989" s="40"/>
      <c r="AD989" s="40"/>
      <c r="AE989" s="40"/>
      <c r="AF989" s="40"/>
      <c r="AG989" s="40"/>
      <c r="AH989" s="40"/>
      <c r="AI989" s="40"/>
      <c r="AJ989" s="40"/>
      <c r="AK989" s="40"/>
    </row>
    <row r="990" spans="2:42" x14ac:dyDescent="0.3">
      <c r="B990" s="44"/>
      <c r="C990" s="45"/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AA990" s="44"/>
      <c r="AB990" s="45"/>
      <c r="AC990" s="45"/>
      <c r="AD990" s="45"/>
      <c r="AE990" s="45"/>
      <c r="AF990" s="45"/>
      <c r="AG990" s="45"/>
      <c r="AH990" s="45"/>
      <c r="AI990" s="45"/>
      <c r="AJ990" s="45"/>
      <c r="AK990" s="45"/>
      <c r="AL990" s="45"/>
      <c r="AM990" s="43"/>
      <c r="AN990" s="43"/>
      <c r="AO990" s="43"/>
      <c r="AP990" s="43"/>
    </row>
    <row r="991" spans="2:42" x14ac:dyDescent="0.3">
      <c r="B991" s="39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AA991" s="39"/>
      <c r="AB991" s="40"/>
      <c r="AC991" s="40"/>
      <c r="AD991" s="40"/>
      <c r="AE991" s="40"/>
      <c r="AF991" s="40"/>
      <c r="AG991" s="40"/>
      <c r="AH991" s="40"/>
      <c r="AI991" s="40"/>
      <c r="AJ991" s="40"/>
      <c r="AK991" s="40"/>
    </row>
    <row r="992" spans="2:42" x14ac:dyDescent="0.3">
      <c r="B992" s="44"/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AA992" s="44"/>
      <c r="AB992" s="45"/>
      <c r="AC992" s="45"/>
      <c r="AD992" s="45"/>
      <c r="AE992" s="45"/>
      <c r="AF992" s="45"/>
      <c r="AG992" s="45"/>
      <c r="AH992" s="45"/>
      <c r="AI992" s="45"/>
      <c r="AJ992" s="45"/>
      <c r="AK992" s="45"/>
      <c r="AL992" s="45"/>
      <c r="AM992" s="43"/>
      <c r="AN992" s="43"/>
      <c r="AO992" s="43"/>
      <c r="AP992" s="43"/>
    </row>
    <row r="993" spans="2:42" x14ac:dyDescent="0.3">
      <c r="B993" s="39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AA993" s="39"/>
      <c r="AB993" s="40"/>
      <c r="AC993" s="40"/>
      <c r="AD993" s="40"/>
      <c r="AE993" s="40"/>
      <c r="AF993" s="40"/>
      <c r="AG993" s="40"/>
      <c r="AH993" s="40"/>
      <c r="AI993" s="40"/>
      <c r="AJ993" s="40"/>
      <c r="AK993" s="40"/>
    </row>
    <row r="994" spans="2:42" x14ac:dyDescent="0.3">
      <c r="B994" s="44"/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AA994" s="44"/>
      <c r="AB994" s="45"/>
      <c r="AC994" s="45"/>
      <c r="AD994" s="45"/>
      <c r="AE994" s="45"/>
      <c r="AF994" s="45"/>
      <c r="AG994" s="45"/>
      <c r="AH994" s="45"/>
      <c r="AI994" s="45"/>
      <c r="AJ994" s="45"/>
      <c r="AK994" s="45"/>
      <c r="AL994" s="45"/>
      <c r="AM994" s="43"/>
      <c r="AN994" s="43"/>
      <c r="AO994" s="43"/>
      <c r="AP994" s="43"/>
    </row>
    <row r="995" spans="2:42" x14ac:dyDescent="0.3">
      <c r="B995" s="39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AA995" s="39"/>
      <c r="AB995" s="40"/>
      <c r="AC995" s="40"/>
      <c r="AD995" s="40"/>
      <c r="AE995" s="40"/>
      <c r="AF995" s="40"/>
      <c r="AG995" s="40"/>
      <c r="AH995" s="40"/>
      <c r="AI995" s="40"/>
      <c r="AJ995" s="40"/>
      <c r="AK995" s="40"/>
    </row>
    <row r="996" spans="2:42" x14ac:dyDescent="0.3">
      <c r="B996" s="44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AA996" s="44"/>
      <c r="AB996" s="45"/>
      <c r="AC996" s="45"/>
      <c r="AD996" s="45"/>
      <c r="AE996" s="45"/>
      <c r="AF996" s="45"/>
      <c r="AG996" s="45"/>
      <c r="AH996" s="45"/>
      <c r="AI996" s="45"/>
      <c r="AJ996" s="45"/>
      <c r="AK996" s="45"/>
      <c r="AL996" s="45"/>
      <c r="AM996" s="43"/>
      <c r="AN996" s="43"/>
      <c r="AO996" s="43"/>
      <c r="AP996" s="43"/>
    </row>
    <row r="997" spans="2:42" x14ac:dyDescent="0.3">
      <c r="B997" s="39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AA997" s="39"/>
      <c r="AB997" s="40"/>
      <c r="AC997" s="40"/>
      <c r="AD997" s="40"/>
      <c r="AE997" s="40"/>
      <c r="AF997" s="40"/>
      <c r="AG997" s="40"/>
      <c r="AH997" s="40"/>
      <c r="AI997" s="40"/>
      <c r="AJ997" s="40"/>
      <c r="AK997" s="40"/>
    </row>
    <row r="998" spans="2:42" x14ac:dyDescent="0.3">
      <c r="B998" s="44"/>
      <c r="C998" s="45"/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AA998" s="44"/>
      <c r="AB998" s="45"/>
      <c r="AC998" s="45"/>
      <c r="AD998" s="45"/>
      <c r="AE998" s="45"/>
      <c r="AF998" s="45"/>
      <c r="AG998" s="45"/>
      <c r="AH998" s="45"/>
      <c r="AI998" s="45"/>
      <c r="AJ998" s="45"/>
      <c r="AK998" s="45"/>
      <c r="AL998" s="45"/>
      <c r="AM998" s="43"/>
      <c r="AN998" s="43"/>
      <c r="AO998" s="43"/>
      <c r="AP998" s="43"/>
    </row>
    <row r="999" spans="2:42" x14ac:dyDescent="0.3">
      <c r="B999" s="39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AA999" s="39"/>
      <c r="AB999" s="40"/>
      <c r="AC999" s="40"/>
      <c r="AD999" s="40"/>
      <c r="AE999" s="40"/>
      <c r="AF999" s="40"/>
      <c r="AG999" s="40"/>
      <c r="AH999" s="40"/>
      <c r="AI999" s="40"/>
      <c r="AJ999" s="40"/>
      <c r="AK999" s="40"/>
    </row>
    <row r="1000" spans="2:42" x14ac:dyDescent="0.3">
      <c r="B1000" s="44"/>
      <c r="C1000" s="45"/>
      <c r="D1000" s="45"/>
      <c r="E1000" s="45"/>
      <c r="F1000" s="45"/>
      <c r="G1000" s="45"/>
      <c r="H1000" s="45"/>
      <c r="I1000" s="45"/>
      <c r="J1000" s="45"/>
      <c r="K1000" s="45"/>
      <c r="L1000" s="45"/>
      <c r="M1000" s="45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AA1000" s="44"/>
      <c r="AB1000" s="45"/>
      <c r="AC1000" s="45"/>
      <c r="AD1000" s="45"/>
      <c r="AE1000" s="45"/>
      <c r="AF1000" s="45"/>
      <c r="AG1000" s="45"/>
      <c r="AH1000" s="45"/>
      <c r="AI1000" s="45"/>
      <c r="AJ1000" s="45"/>
      <c r="AK1000" s="45"/>
      <c r="AL1000" s="45"/>
      <c r="AM1000" s="43"/>
      <c r="AN1000" s="43"/>
      <c r="AO1000" s="43"/>
      <c r="AP1000" s="43"/>
    </row>
    <row r="1001" spans="2:42" x14ac:dyDescent="0.3">
      <c r="B1001" s="39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AA1001" s="39"/>
      <c r="AB1001" s="40"/>
      <c r="AC1001" s="40"/>
      <c r="AD1001" s="40"/>
      <c r="AE1001" s="40"/>
      <c r="AF1001" s="40"/>
      <c r="AG1001" s="40"/>
      <c r="AH1001" s="40"/>
      <c r="AI1001" s="40"/>
      <c r="AJ1001" s="40"/>
      <c r="AK1001" s="40"/>
    </row>
    <row r="1002" spans="2:42" x14ac:dyDescent="0.3">
      <c r="B1002" s="44"/>
      <c r="C1002" s="45"/>
      <c r="D1002" s="45"/>
      <c r="E1002" s="45"/>
      <c r="F1002" s="45"/>
      <c r="G1002" s="45"/>
      <c r="H1002" s="45"/>
      <c r="I1002" s="45"/>
      <c r="J1002" s="45"/>
      <c r="K1002" s="45"/>
      <c r="L1002" s="45"/>
      <c r="M1002" s="45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AA1002" s="44"/>
      <c r="AB1002" s="45"/>
      <c r="AC1002" s="45"/>
      <c r="AD1002" s="45"/>
      <c r="AE1002" s="45"/>
      <c r="AF1002" s="45"/>
      <c r="AG1002" s="45"/>
      <c r="AH1002" s="45"/>
      <c r="AI1002" s="45"/>
      <c r="AJ1002" s="45"/>
      <c r="AK1002" s="45"/>
      <c r="AL1002" s="45"/>
      <c r="AM1002" s="43"/>
      <c r="AN1002" s="43"/>
      <c r="AO1002" s="43"/>
      <c r="AP1002" s="43"/>
    </row>
    <row r="1003" spans="2:42" x14ac:dyDescent="0.3">
      <c r="B1003" s="39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AA1003" s="39"/>
      <c r="AB1003" s="40"/>
      <c r="AC1003" s="40"/>
      <c r="AD1003" s="40"/>
      <c r="AE1003" s="40"/>
      <c r="AF1003" s="40"/>
      <c r="AG1003" s="40"/>
      <c r="AH1003" s="40"/>
      <c r="AI1003" s="40"/>
      <c r="AJ1003" s="40"/>
      <c r="AK1003" s="40"/>
    </row>
    <row r="1004" spans="2:42" x14ac:dyDescent="0.3">
      <c r="B1004" s="44"/>
      <c r="C1004" s="45"/>
      <c r="D1004" s="45"/>
      <c r="E1004" s="45"/>
      <c r="F1004" s="45"/>
      <c r="G1004" s="45"/>
      <c r="H1004" s="45"/>
      <c r="I1004" s="45"/>
      <c r="J1004" s="45"/>
      <c r="K1004" s="45"/>
      <c r="L1004" s="45"/>
      <c r="M1004" s="45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AA1004" s="44"/>
      <c r="AB1004" s="45"/>
      <c r="AC1004" s="45"/>
      <c r="AD1004" s="45"/>
      <c r="AE1004" s="45"/>
      <c r="AF1004" s="45"/>
      <c r="AG1004" s="45"/>
      <c r="AH1004" s="45"/>
      <c r="AI1004" s="45"/>
      <c r="AJ1004" s="45"/>
      <c r="AK1004" s="45"/>
      <c r="AL1004" s="45"/>
      <c r="AM1004" s="43"/>
      <c r="AN1004" s="43"/>
      <c r="AO1004" s="43"/>
      <c r="AP1004" s="43"/>
    </row>
    <row r="1005" spans="2:42" x14ac:dyDescent="0.3">
      <c r="B1005" s="39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AA1005" s="39"/>
      <c r="AB1005" s="40"/>
      <c r="AC1005" s="40"/>
      <c r="AD1005" s="40"/>
      <c r="AE1005" s="40"/>
      <c r="AF1005" s="40"/>
      <c r="AG1005" s="40"/>
      <c r="AH1005" s="40"/>
      <c r="AI1005" s="40"/>
      <c r="AJ1005" s="40"/>
      <c r="AK1005" s="40"/>
    </row>
    <row r="1006" spans="2:42" x14ac:dyDescent="0.3">
      <c r="B1006" s="44"/>
      <c r="C1006" s="45"/>
      <c r="D1006" s="45"/>
      <c r="E1006" s="45"/>
      <c r="F1006" s="45"/>
      <c r="G1006" s="45"/>
      <c r="H1006" s="45"/>
      <c r="I1006" s="45"/>
      <c r="J1006" s="45"/>
      <c r="K1006" s="45"/>
      <c r="L1006" s="45"/>
      <c r="M1006" s="45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AA1006" s="44"/>
      <c r="AB1006" s="45"/>
      <c r="AC1006" s="45"/>
      <c r="AD1006" s="45"/>
      <c r="AE1006" s="45"/>
      <c r="AF1006" s="45"/>
      <c r="AG1006" s="45"/>
      <c r="AH1006" s="45"/>
      <c r="AI1006" s="45"/>
      <c r="AJ1006" s="45"/>
      <c r="AK1006" s="45"/>
      <c r="AL1006" s="45"/>
      <c r="AM1006" s="43"/>
      <c r="AN1006" s="43"/>
      <c r="AO1006" s="43"/>
      <c r="AP1006" s="43"/>
    </row>
    <row r="1007" spans="2:42" x14ac:dyDescent="0.3">
      <c r="B1007" s="39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AA1007" s="39"/>
      <c r="AB1007" s="40"/>
      <c r="AC1007" s="40"/>
      <c r="AD1007" s="40"/>
      <c r="AE1007" s="40"/>
      <c r="AF1007" s="40"/>
      <c r="AG1007" s="40"/>
      <c r="AH1007" s="40"/>
      <c r="AI1007" s="40"/>
      <c r="AJ1007" s="40"/>
      <c r="AK1007" s="40"/>
    </row>
    <row r="1008" spans="2:42" x14ac:dyDescent="0.3">
      <c r="B1008" s="44"/>
      <c r="C1008" s="45"/>
      <c r="D1008" s="45"/>
      <c r="E1008" s="45"/>
      <c r="F1008" s="45"/>
      <c r="G1008" s="45"/>
      <c r="H1008" s="45"/>
      <c r="I1008" s="45"/>
      <c r="J1008" s="45"/>
      <c r="K1008" s="45"/>
      <c r="L1008" s="45"/>
      <c r="M1008" s="45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AA1008" s="44"/>
      <c r="AB1008" s="45"/>
      <c r="AC1008" s="45"/>
      <c r="AD1008" s="45"/>
      <c r="AE1008" s="45"/>
      <c r="AF1008" s="45"/>
      <c r="AG1008" s="45"/>
      <c r="AH1008" s="45"/>
      <c r="AI1008" s="45"/>
      <c r="AJ1008" s="45"/>
      <c r="AK1008" s="45"/>
      <c r="AL1008" s="45"/>
      <c r="AM1008" s="43"/>
      <c r="AN1008" s="43"/>
      <c r="AO1008" s="43"/>
      <c r="AP1008" s="43"/>
    </row>
    <row r="1009" spans="2:42" x14ac:dyDescent="0.3">
      <c r="B1009" s="39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AA1009" s="39"/>
      <c r="AB1009" s="40"/>
      <c r="AC1009" s="40"/>
      <c r="AD1009" s="40"/>
      <c r="AE1009" s="40"/>
      <c r="AF1009" s="40"/>
      <c r="AG1009" s="40"/>
      <c r="AH1009" s="40"/>
      <c r="AI1009" s="40"/>
      <c r="AJ1009" s="40"/>
      <c r="AK1009" s="40"/>
    </row>
    <row r="1010" spans="2:42" x14ac:dyDescent="0.3">
      <c r="B1010" s="44"/>
      <c r="C1010" s="45"/>
      <c r="D1010" s="45"/>
      <c r="E1010" s="45"/>
      <c r="F1010" s="45"/>
      <c r="G1010" s="45"/>
      <c r="H1010" s="45"/>
      <c r="I1010" s="45"/>
      <c r="J1010" s="45"/>
      <c r="K1010" s="45"/>
      <c r="L1010" s="45"/>
      <c r="M1010" s="45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AA1010" s="44"/>
      <c r="AB1010" s="45"/>
      <c r="AC1010" s="45"/>
      <c r="AD1010" s="45"/>
      <c r="AE1010" s="45"/>
      <c r="AF1010" s="45"/>
      <c r="AG1010" s="45"/>
      <c r="AH1010" s="45"/>
      <c r="AI1010" s="45"/>
      <c r="AJ1010" s="45"/>
      <c r="AK1010" s="45"/>
      <c r="AL1010" s="45"/>
      <c r="AM1010" s="43"/>
      <c r="AN1010" s="43"/>
      <c r="AO1010" s="43"/>
      <c r="AP1010" s="43"/>
    </row>
    <row r="1011" spans="2:42" x14ac:dyDescent="0.3">
      <c r="B1011" s="39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AA1011" s="39"/>
      <c r="AB1011" s="40"/>
      <c r="AC1011" s="40"/>
      <c r="AD1011" s="40"/>
      <c r="AE1011" s="40"/>
      <c r="AF1011" s="40"/>
      <c r="AG1011" s="40"/>
      <c r="AH1011" s="40"/>
      <c r="AI1011" s="40"/>
      <c r="AJ1011" s="40"/>
      <c r="AK1011" s="40"/>
    </row>
    <row r="1012" spans="2:42" x14ac:dyDescent="0.3">
      <c r="B1012" s="44"/>
      <c r="C1012" s="45"/>
      <c r="D1012" s="45"/>
      <c r="E1012" s="45"/>
      <c r="F1012" s="45"/>
      <c r="G1012" s="45"/>
      <c r="H1012" s="45"/>
      <c r="I1012" s="45"/>
      <c r="J1012" s="45"/>
      <c r="K1012" s="45"/>
      <c r="L1012" s="45"/>
      <c r="M1012" s="45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AA1012" s="44"/>
      <c r="AB1012" s="45"/>
      <c r="AC1012" s="45"/>
      <c r="AD1012" s="45"/>
      <c r="AE1012" s="45"/>
      <c r="AF1012" s="45"/>
      <c r="AG1012" s="45"/>
      <c r="AH1012" s="45"/>
      <c r="AI1012" s="45"/>
      <c r="AJ1012" s="45"/>
      <c r="AK1012" s="45"/>
      <c r="AL1012" s="45"/>
      <c r="AM1012" s="43"/>
      <c r="AN1012" s="43"/>
      <c r="AO1012" s="43"/>
      <c r="AP1012" s="43"/>
    </row>
    <row r="1013" spans="2:42" x14ac:dyDescent="0.3">
      <c r="B1013" s="39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AA1013" s="39"/>
      <c r="AB1013" s="40"/>
      <c r="AC1013" s="40"/>
      <c r="AD1013" s="40"/>
      <c r="AE1013" s="40"/>
      <c r="AF1013" s="40"/>
      <c r="AG1013" s="40"/>
      <c r="AH1013" s="40"/>
      <c r="AI1013" s="40"/>
      <c r="AJ1013" s="40"/>
      <c r="AK1013" s="40"/>
    </row>
    <row r="1014" spans="2:42" x14ac:dyDescent="0.3">
      <c r="B1014" s="44"/>
      <c r="C1014" s="45"/>
      <c r="D1014" s="45"/>
      <c r="E1014" s="45"/>
      <c r="F1014" s="45"/>
      <c r="G1014" s="45"/>
      <c r="H1014" s="45"/>
      <c r="I1014" s="45"/>
      <c r="J1014" s="45"/>
      <c r="K1014" s="45"/>
      <c r="L1014" s="45"/>
      <c r="M1014" s="45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AA1014" s="44"/>
      <c r="AB1014" s="45"/>
      <c r="AC1014" s="45"/>
      <c r="AD1014" s="45"/>
      <c r="AE1014" s="45"/>
      <c r="AF1014" s="45"/>
      <c r="AG1014" s="45"/>
      <c r="AH1014" s="45"/>
      <c r="AI1014" s="45"/>
      <c r="AJ1014" s="45"/>
      <c r="AK1014" s="45"/>
      <c r="AL1014" s="45"/>
      <c r="AM1014" s="43"/>
      <c r="AN1014" s="43"/>
      <c r="AO1014" s="43"/>
      <c r="AP1014" s="43"/>
    </row>
    <row r="1015" spans="2:42" x14ac:dyDescent="0.3">
      <c r="B1015" s="39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AA1015" s="39"/>
      <c r="AB1015" s="40"/>
      <c r="AC1015" s="40"/>
      <c r="AD1015" s="40"/>
      <c r="AE1015" s="40"/>
      <c r="AF1015" s="40"/>
      <c r="AG1015" s="40"/>
      <c r="AH1015" s="40"/>
      <c r="AI1015" s="40"/>
      <c r="AJ1015" s="40"/>
      <c r="AK1015" s="40"/>
    </row>
    <row r="1016" spans="2:42" x14ac:dyDescent="0.3">
      <c r="B1016" s="44"/>
      <c r="C1016" s="45"/>
      <c r="D1016" s="45"/>
      <c r="E1016" s="45"/>
      <c r="F1016" s="45"/>
      <c r="G1016" s="45"/>
      <c r="H1016" s="45"/>
      <c r="I1016" s="45"/>
      <c r="J1016" s="45"/>
      <c r="K1016" s="45"/>
      <c r="L1016" s="45"/>
      <c r="M1016" s="45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AA1016" s="44"/>
      <c r="AB1016" s="45"/>
      <c r="AC1016" s="45"/>
      <c r="AD1016" s="45"/>
      <c r="AE1016" s="45"/>
      <c r="AF1016" s="45"/>
      <c r="AG1016" s="45"/>
      <c r="AH1016" s="45"/>
      <c r="AI1016" s="45"/>
      <c r="AJ1016" s="45"/>
      <c r="AK1016" s="45"/>
      <c r="AL1016" s="45"/>
      <c r="AM1016" s="43"/>
      <c r="AN1016" s="43"/>
      <c r="AO1016" s="43"/>
      <c r="AP1016" s="43"/>
    </row>
    <row r="1017" spans="2:42" x14ac:dyDescent="0.3">
      <c r="B1017" s="39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AA1017" s="39"/>
      <c r="AB1017" s="40"/>
      <c r="AC1017" s="40"/>
      <c r="AD1017" s="40"/>
      <c r="AE1017" s="40"/>
      <c r="AF1017" s="40"/>
      <c r="AG1017" s="40"/>
      <c r="AH1017" s="40"/>
      <c r="AI1017" s="40"/>
      <c r="AJ1017" s="40"/>
      <c r="AK1017" s="40"/>
    </row>
    <row r="1018" spans="2:42" x14ac:dyDescent="0.3">
      <c r="B1018" s="44"/>
      <c r="C1018" s="45"/>
      <c r="D1018" s="45"/>
      <c r="E1018" s="45"/>
      <c r="F1018" s="45"/>
      <c r="G1018" s="45"/>
      <c r="H1018" s="45"/>
      <c r="I1018" s="45"/>
      <c r="J1018" s="45"/>
      <c r="K1018" s="45"/>
      <c r="L1018" s="45"/>
      <c r="M1018" s="45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AA1018" s="44"/>
      <c r="AB1018" s="45"/>
      <c r="AC1018" s="45"/>
      <c r="AD1018" s="45"/>
      <c r="AE1018" s="45"/>
      <c r="AF1018" s="45"/>
      <c r="AG1018" s="45"/>
      <c r="AH1018" s="45"/>
      <c r="AI1018" s="45"/>
      <c r="AJ1018" s="45"/>
      <c r="AK1018" s="45"/>
      <c r="AL1018" s="45"/>
      <c r="AM1018" s="43"/>
      <c r="AN1018" s="43"/>
      <c r="AO1018" s="43"/>
      <c r="AP1018" s="43"/>
    </row>
    <row r="1019" spans="2:42" x14ac:dyDescent="0.3">
      <c r="B1019" s="39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AA1019" s="39"/>
      <c r="AB1019" s="40"/>
      <c r="AC1019" s="40"/>
      <c r="AD1019" s="40"/>
      <c r="AE1019" s="40"/>
      <c r="AF1019" s="40"/>
      <c r="AG1019" s="40"/>
      <c r="AH1019" s="40"/>
      <c r="AI1019" s="40"/>
      <c r="AJ1019" s="40"/>
      <c r="AK1019" s="40"/>
    </row>
    <row r="1020" spans="2:42" x14ac:dyDescent="0.3">
      <c r="B1020" s="44"/>
      <c r="C1020" s="45"/>
      <c r="D1020" s="45"/>
      <c r="E1020" s="45"/>
      <c r="F1020" s="45"/>
      <c r="G1020" s="45"/>
      <c r="H1020" s="45"/>
      <c r="I1020" s="45"/>
      <c r="J1020" s="45"/>
      <c r="K1020" s="45"/>
      <c r="L1020" s="45"/>
      <c r="M1020" s="45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AA1020" s="44"/>
      <c r="AB1020" s="45"/>
      <c r="AC1020" s="45"/>
      <c r="AD1020" s="45"/>
      <c r="AE1020" s="45"/>
      <c r="AF1020" s="45"/>
      <c r="AG1020" s="45"/>
      <c r="AH1020" s="45"/>
      <c r="AI1020" s="45"/>
      <c r="AJ1020" s="45"/>
      <c r="AK1020" s="45"/>
      <c r="AL1020" s="45"/>
      <c r="AM1020" s="43"/>
      <c r="AN1020" s="43"/>
      <c r="AO1020" s="43"/>
      <c r="AP1020" s="43"/>
    </row>
    <row r="1021" spans="2:42" x14ac:dyDescent="0.3">
      <c r="B1021" s="39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AA1021" s="39"/>
      <c r="AB1021" s="40"/>
      <c r="AC1021" s="40"/>
      <c r="AD1021" s="40"/>
      <c r="AE1021" s="40"/>
      <c r="AF1021" s="40"/>
      <c r="AG1021" s="40"/>
      <c r="AH1021" s="40"/>
      <c r="AI1021" s="40"/>
      <c r="AJ1021" s="40"/>
      <c r="AK1021" s="40"/>
    </row>
    <row r="1022" spans="2:42" x14ac:dyDescent="0.3">
      <c r="B1022" s="44"/>
      <c r="C1022" s="45"/>
      <c r="D1022" s="45"/>
      <c r="E1022" s="45"/>
      <c r="F1022" s="45"/>
      <c r="G1022" s="45"/>
      <c r="H1022" s="45"/>
      <c r="I1022" s="45"/>
      <c r="J1022" s="45"/>
      <c r="K1022" s="45"/>
      <c r="L1022" s="45"/>
      <c r="M1022" s="45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AA1022" s="44"/>
      <c r="AB1022" s="45"/>
      <c r="AC1022" s="45"/>
      <c r="AD1022" s="45"/>
      <c r="AE1022" s="45"/>
      <c r="AF1022" s="45"/>
      <c r="AG1022" s="45"/>
      <c r="AH1022" s="45"/>
      <c r="AI1022" s="45"/>
      <c r="AJ1022" s="45"/>
      <c r="AK1022" s="45"/>
      <c r="AL1022" s="45"/>
      <c r="AM1022" s="43"/>
      <c r="AN1022" s="43"/>
      <c r="AO1022" s="43"/>
      <c r="AP1022" s="43"/>
    </row>
    <row r="1023" spans="2:42" x14ac:dyDescent="0.3">
      <c r="B1023" s="39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AA1023" s="39"/>
      <c r="AB1023" s="40"/>
      <c r="AC1023" s="40"/>
      <c r="AD1023" s="40"/>
      <c r="AE1023" s="40"/>
      <c r="AF1023" s="40"/>
      <c r="AG1023" s="40"/>
      <c r="AH1023" s="40"/>
      <c r="AI1023" s="40"/>
      <c r="AJ1023" s="40"/>
      <c r="AK1023" s="40"/>
    </row>
    <row r="1024" spans="2:42" x14ac:dyDescent="0.3">
      <c r="B1024" s="44"/>
      <c r="C1024" s="45"/>
      <c r="D1024" s="45"/>
      <c r="E1024" s="45"/>
      <c r="F1024" s="45"/>
      <c r="G1024" s="45"/>
      <c r="H1024" s="45"/>
      <c r="I1024" s="45"/>
      <c r="J1024" s="45"/>
      <c r="K1024" s="45"/>
      <c r="L1024" s="45"/>
      <c r="M1024" s="45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AA1024" s="44"/>
      <c r="AB1024" s="45"/>
      <c r="AC1024" s="45"/>
      <c r="AD1024" s="45"/>
      <c r="AE1024" s="45"/>
      <c r="AF1024" s="45"/>
      <c r="AG1024" s="45"/>
      <c r="AH1024" s="45"/>
      <c r="AI1024" s="45"/>
      <c r="AJ1024" s="45"/>
      <c r="AK1024" s="45"/>
      <c r="AL1024" s="45"/>
      <c r="AM1024" s="43"/>
      <c r="AN1024" s="43"/>
      <c r="AO1024" s="43"/>
      <c r="AP1024" s="43"/>
    </row>
    <row r="1025" spans="2:42" x14ac:dyDescent="0.3">
      <c r="B1025" s="39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AA1025" s="39"/>
      <c r="AB1025" s="40"/>
      <c r="AC1025" s="40"/>
      <c r="AD1025" s="40"/>
      <c r="AE1025" s="40"/>
      <c r="AF1025" s="40"/>
      <c r="AG1025" s="40"/>
      <c r="AH1025" s="40"/>
      <c r="AI1025" s="40"/>
      <c r="AJ1025" s="40"/>
      <c r="AK1025" s="40"/>
    </row>
    <row r="1026" spans="2:42" x14ac:dyDescent="0.3">
      <c r="B1026" s="44"/>
      <c r="C1026" s="45"/>
      <c r="D1026" s="45"/>
      <c r="E1026" s="45"/>
      <c r="F1026" s="45"/>
      <c r="G1026" s="45"/>
      <c r="H1026" s="45"/>
      <c r="I1026" s="45"/>
      <c r="J1026" s="45"/>
      <c r="K1026" s="45"/>
      <c r="L1026" s="45"/>
      <c r="M1026" s="45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AA1026" s="44"/>
      <c r="AB1026" s="45"/>
      <c r="AC1026" s="45"/>
      <c r="AD1026" s="45"/>
      <c r="AE1026" s="45"/>
      <c r="AF1026" s="45"/>
      <c r="AG1026" s="45"/>
      <c r="AH1026" s="45"/>
      <c r="AI1026" s="45"/>
      <c r="AJ1026" s="45"/>
      <c r="AK1026" s="45"/>
      <c r="AL1026" s="45"/>
      <c r="AM1026" s="43"/>
      <c r="AN1026" s="43"/>
      <c r="AO1026" s="43"/>
      <c r="AP1026" s="43"/>
    </row>
    <row r="1027" spans="2:42" x14ac:dyDescent="0.3">
      <c r="B1027" s="39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AA1027" s="39"/>
      <c r="AB1027" s="40"/>
      <c r="AC1027" s="40"/>
      <c r="AD1027" s="40"/>
      <c r="AE1027" s="40"/>
      <c r="AF1027" s="40"/>
      <c r="AG1027" s="40"/>
      <c r="AH1027" s="40"/>
      <c r="AI1027" s="40"/>
      <c r="AJ1027" s="40"/>
      <c r="AK1027" s="40"/>
    </row>
    <row r="1028" spans="2:42" x14ac:dyDescent="0.3">
      <c r="B1028" s="44"/>
      <c r="C1028" s="45"/>
      <c r="D1028" s="45"/>
      <c r="E1028" s="45"/>
      <c r="F1028" s="45"/>
      <c r="G1028" s="45"/>
      <c r="H1028" s="45"/>
      <c r="I1028" s="45"/>
      <c r="J1028" s="45"/>
      <c r="K1028" s="45"/>
      <c r="L1028" s="45"/>
      <c r="M1028" s="45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AA1028" s="44"/>
      <c r="AB1028" s="45"/>
      <c r="AC1028" s="45"/>
      <c r="AD1028" s="45"/>
      <c r="AE1028" s="45"/>
      <c r="AF1028" s="45"/>
      <c r="AG1028" s="45"/>
      <c r="AH1028" s="45"/>
      <c r="AI1028" s="45"/>
      <c r="AJ1028" s="45"/>
      <c r="AK1028" s="45"/>
      <c r="AL1028" s="45"/>
      <c r="AM1028" s="43"/>
      <c r="AN1028" s="43"/>
      <c r="AO1028" s="43"/>
      <c r="AP1028" s="43"/>
    </row>
    <row r="1029" spans="2:42" x14ac:dyDescent="0.3">
      <c r="B1029" s="39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AA1029" s="39"/>
      <c r="AB1029" s="40"/>
      <c r="AC1029" s="40"/>
      <c r="AD1029" s="40"/>
      <c r="AE1029" s="40"/>
      <c r="AF1029" s="40"/>
      <c r="AG1029" s="40"/>
      <c r="AH1029" s="40"/>
      <c r="AI1029" s="40"/>
      <c r="AJ1029" s="40"/>
      <c r="AK1029" s="40"/>
    </row>
    <row r="1030" spans="2:42" x14ac:dyDescent="0.3">
      <c r="B1030" s="44"/>
      <c r="C1030" s="45"/>
      <c r="D1030" s="45"/>
      <c r="E1030" s="45"/>
      <c r="F1030" s="45"/>
      <c r="G1030" s="45"/>
      <c r="H1030" s="45"/>
      <c r="I1030" s="45"/>
      <c r="J1030" s="45"/>
      <c r="K1030" s="45"/>
      <c r="L1030" s="45"/>
      <c r="M1030" s="45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AA1030" s="44"/>
      <c r="AB1030" s="45"/>
      <c r="AC1030" s="45"/>
      <c r="AD1030" s="45"/>
      <c r="AE1030" s="45"/>
      <c r="AF1030" s="45"/>
      <c r="AG1030" s="45"/>
      <c r="AH1030" s="45"/>
      <c r="AI1030" s="45"/>
      <c r="AJ1030" s="45"/>
      <c r="AK1030" s="45"/>
      <c r="AL1030" s="45"/>
      <c r="AM1030" s="43"/>
      <c r="AN1030" s="43"/>
      <c r="AO1030" s="43"/>
      <c r="AP1030" s="43"/>
    </row>
    <row r="1031" spans="2:42" x14ac:dyDescent="0.3">
      <c r="B1031" s="39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AA1031" s="39"/>
      <c r="AB1031" s="40"/>
      <c r="AC1031" s="40"/>
      <c r="AD1031" s="40"/>
      <c r="AE1031" s="40"/>
      <c r="AF1031" s="40"/>
      <c r="AG1031" s="40"/>
      <c r="AH1031" s="40"/>
      <c r="AI1031" s="40"/>
      <c r="AJ1031" s="40"/>
      <c r="AK1031" s="40"/>
    </row>
    <row r="1032" spans="2:42" x14ac:dyDescent="0.3">
      <c r="B1032" s="44"/>
      <c r="C1032" s="45"/>
      <c r="D1032" s="45"/>
      <c r="E1032" s="45"/>
      <c r="F1032" s="45"/>
      <c r="G1032" s="45"/>
      <c r="H1032" s="45"/>
      <c r="I1032" s="45"/>
      <c r="J1032" s="45"/>
      <c r="K1032" s="45"/>
      <c r="L1032" s="45"/>
      <c r="M1032" s="45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AA1032" s="44"/>
      <c r="AB1032" s="45"/>
      <c r="AC1032" s="45"/>
      <c r="AD1032" s="45"/>
      <c r="AE1032" s="45"/>
      <c r="AF1032" s="45"/>
      <c r="AG1032" s="45"/>
      <c r="AH1032" s="45"/>
      <c r="AI1032" s="45"/>
      <c r="AJ1032" s="45"/>
      <c r="AK1032" s="45"/>
      <c r="AL1032" s="45"/>
      <c r="AM1032" s="43"/>
      <c r="AN1032" s="43"/>
      <c r="AO1032" s="43"/>
      <c r="AP1032" s="43"/>
    </row>
    <row r="1033" spans="2:42" x14ac:dyDescent="0.3">
      <c r="B1033" s="39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AA1033" s="39"/>
      <c r="AB1033" s="40"/>
      <c r="AC1033" s="40"/>
      <c r="AD1033" s="40"/>
      <c r="AE1033" s="40"/>
      <c r="AF1033" s="40"/>
      <c r="AG1033" s="40"/>
      <c r="AH1033" s="40"/>
      <c r="AI1033" s="40"/>
      <c r="AJ1033" s="40"/>
      <c r="AK1033" s="40"/>
    </row>
    <row r="1034" spans="2:42" x14ac:dyDescent="0.3">
      <c r="B1034" s="44"/>
      <c r="C1034" s="45"/>
      <c r="D1034" s="45"/>
      <c r="E1034" s="45"/>
      <c r="F1034" s="45"/>
      <c r="G1034" s="45"/>
      <c r="H1034" s="45"/>
      <c r="I1034" s="45"/>
      <c r="J1034" s="45"/>
      <c r="K1034" s="45"/>
      <c r="L1034" s="45"/>
      <c r="M1034" s="45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AA1034" s="44"/>
      <c r="AB1034" s="45"/>
      <c r="AC1034" s="45"/>
      <c r="AD1034" s="45"/>
      <c r="AE1034" s="45"/>
      <c r="AF1034" s="45"/>
      <c r="AG1034" s="45"/>
      <c r="AH1034" s="45"/>
      <c r="AI1034" s="45"/>
      <c r="AJ1034" s="45"/>
      <c r="AK1034" s="45"/>
      <c r="AL1034" s="45"/>
      <c r="AM1034" s="43"/>
      <c r="AN1034" s="43"/>
      <c r="AO1034" s="43"/>
      <c r="AP1034" s="43"/>
    </row>
    <row r="1035" spans="2:42" x14ac:dyDescent="0.3">
      <c r="B1035" s="39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AA1035" s="39"/>
      <c r="AB1035" s="40"/>
      <c r="AC1035" s="40"/>
      <c r="AD1035" s="40"/>
      <c r="AE1035" s="40"/>
      <c r="AF1035" s="40"/>
      <c r="AG1035" s="40"/>
      <c r="AH1035" s="40"/>
      <c r="AI1035" s="40"/>
      <c r="AJ1035" s="40"/>
      <c r="AK1035" s="40"/>
    </row>
    <row r="1036" spans="2:42" x14ac:dyDescent="0.3">
      <c r="B1036" s="44"/>
      <c r="C1036" s="45"/>
      <c r="D1036" s="45"/>
      <c r="E1036" s="45"/>
      <c r="F1036" s="45"/>
      <c r="G1036" s="45"/>
      <c r="H1036" s="45"/>
      <c r="I1036" s="45"/>
      <c r="J1036" s="45"/>
      <c r="K1036" s="45"/>
      <c r="L1036" s="45"/>
      <c r="M1036" s="45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AA1036" s="44"/>
      <c r="AB1036" s="45"/>
      <c r="AC1036" s="45"/>
      <c r="AD1036" s="45"/>
      <c r="AE1036" s="45"/>
      <c r="AF1036" s="45"/>
      <c r="AG1036" s="45"/>
      <c r="AH1036" s="45"/>
      <c r="AI1036" s="45"/>
      <c r="AJ1036" s="45"/>
      <c r="AK1036" s="45"/>
      <c r="AL1036" s="45"/>
      <c r="AM1036" s="43"/>
      <c r="AN1036" s="43"/>
      <c r="AO1036" s="43"/>
      <c r="AP1036" s="43"/>
    </row>
    <row r="1037" spans="2:42" x14ac:dyDescent="0.3">
      <c r="B1037" s="39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AA1037" s="39"/>
      <c r="AB1037" s="40"/>
      <c r="AC1037" s="40"/>
      <c r="AD1037" s="40"/>
      <c r="AE1037" s="40"/>
      <c r="AF1037" s="40"/>
      <c r="AG1037" s="40"/>
      <c r="AH1037" s="40"/>
      <c r="AI1037" s="40"/>
      <c r="AJ1037" s="40"/>
      <c r="AK1037" s="40"/>
    </row>
    <row r="1038" spans="2:42" x14ac:dyDescent="0.3">
      <c r="B1038" s="44"/>
      <c r="C1038" s="45"/>
      <c r="D1038" s="45"/>
      <c r="E1038" s="45"/>
      <c r="F1038" s="45"/>
      <c r="G1038" s="45"/>
      <c r="H1038" s="45"/>
      <c r="I1038" s="45"/>
      <c r="J1038" s="45"/>
      <c r="K1038" s="45"/>
      <c r="L1038" s="45"/>
      <c r="M1038" s="45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AA1038" s="44"/>
      <c r="AB1038" s="45"/>
      <c r="AC1038" s="45"/>
      <c r="AD1038" s="45"/>
      <c r="AE1038" s="45"/>
      <c r="AF1038" s="45"/>
      <c r="AG1038" s="45"/>
      <c r="AH1038" s="45"/>
      <c r="AI1038" s="45"/>
      <c r="AJ1038" s="45"/>
      <c r="AK1038" s="45"/>
      <c r="AL1038" s="45"/>
      <c r="AM1038" s="43"/>
      <c r="AN1038" s="43"/>
      <c r="AO1038" s="43"/>
      <c r="AP1038" s="43"/>
    </row>
    <row r="1039" spans="2:42" x14ac:dyDescent="0.3">
      <c r="B1039" s="39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AA1039" s="39"/>
      <c r="AB1039" s="40"/>
      <c r="AC1039" s="40"/>
      <c r="AD1039" s="40"/>
      <c r="AE1039" s="40"/>
      <c r="AF1039" s="40"/>
      <c r="AG1039" s="40"/>
      <c r="AH1039" s="40"/>
      <c r="AI1039" s="40"/>
      <c r="AJ1039" s="40"/>
      <c r="AK1039" s="40"/>
    </row>
    <row r="1040" spans="2:42" x14ac:dyDescent="0.3">
      <c r="B1040" s="44"/>
      <c r="C1040" s="45"/>
      <c r="D1040" s="45"/>
      <c r="E1040" s="45"/>
      <c r="F1040" s="45"/>
      <c r="G1040" s="45"/>
      <c r="H1040" s="45"/>
      <c r="I1040" s="45"/>
      <c r="J1040" s="45"/>
      <c r="K1040" s="45"/>
      <c r="L1040" s="45"/>
      <c r="M1040" s="45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AA1040" s="44"/>
      <c r="AB1040" s="45"/>
      <c r="AC1040" s="45"/>
      <c r="AD1040" s="45"/>
      <c r="AE1040" s="45"/>
      <c r="AF1040" s="45"/>
      <c r="AG1040" s="45"/>
      <c r="AH1040" s="45"/>
      <c r="AI1040" s="45"/>
      <c r="AJ1040" s="45"/>
      <c r="AK1040" s="45"/>
      <c r="AL1040" s="45"/>
      <c r="AM1040" s="43"/>
      <c r="AN1040" s="43"/>
      <c r="AO1040" s="43"/>
      <c r="AP1040" s="43"/>
    </row>
    <row r="1041" spans="2:42" x14ac:dyDescent="0.3">
      <c r="B1041" s="39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AA1041" s="39"/>
      <c r="AB1041" s="40"/>
      <c r="AC1041" s="40"/>
      <c r="AD1041" s="40"/>
      <c r="AE1041" s="40"/>
      <c r="AF1041" s="40"/>
      <c r="AG1041" s="40"/>
      <c r="AH1041" s="40"/>
      <c r="AI1041" s="40"/>
      <c r="AJ1041" s="40"/>
      <c r="AK1041" s="40"/>
    </row>
    <row r="1042" spans="2:42" x14ac:dyDescent="0.3">
      <c r="B1042" s="44"/>
      <c r="C1042" s="45"/>
      <c r="D1042" s="45"/>
      <c r="E1042" s="45"/>
      <c r="F1042" s="45"/>
      <c r="G1042" s="45"/>
      <c r="H1042" s="45"/>
      <c r="I1042" s="45"/>
      <c r="J1042" s="45"/>
      <c r="K1042" s="45"/>
      <c r="L1042" s="45"/>
      <c r="M1042" s="45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AA1042" s="44"/>
      <c r="AB1042" s="45"/>
      <c r="AC1042" s="45"/>
      <c r="AD1042" s="45"/>
      <c r="AE1042" s="45"/>
      <c r="AF1042" s="45"/>
      <c r="AG1042" s="45"/>
      <c r="AH1042" s="45"/>
      <c r="AI1042" s="45"/>
      <c r="AJ1042" s="45"/>
      <c r="AK1042" s="45"/>
      <c r="AL1042" s="45"/>
      <c r="AM1042" s="43"/>
      <c r="AN1042" s="43"/>
      <c r="AO1042" s="43"/>
      <c r="AP1042" s="43"/>
    </row>
    <row r="1043" spans="2:42" x14ac:dyDescent="0.3">
      <c r="B1043" s="39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AA1043" s="39"/>
      <c r="AB1043" s="40"/>
      <c r="AC1043" s="40"/>
      <c r="AD1043" s="40"/>
      <c r="AE1043" s="40"/>
      <c r="AF1043" s="40"/>
      <c r="AG1043" s="40"/>
      <c r="AH1043" s="40"/>
      <c r="AI1043" s="40"/>
      <c r="AJ1043" s="40"/>
      <c r="AK1043" s="40"/>
    </row>
    <row r="1044" spans="2:42" x14ac:dyDescent="0.3">
      <c r="B1044" s="44"/>
      <c r="C1044" s="45"/>
      <c r="D1044" s="45"/>
      <c r="E1044" s="45"/>
      <c r="F1044" s="45"/>
      <c r="G1044" s="45"/>
      <c r="H1044" s="45"/>
      <c r="I1044" s="45"/>
      <c r="J1044" s="45"/>
      <c r="K1044" s="45"/>
      <c r="L1044" s="45"/>
      <c r="M1044" s="45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AA1044" s="44"/>
      <c r="AB1044" s="45"/>
      <c r="AC1044" s="45"/>
      <c r="AD1044" s="45"/>
      <c r="AE1044" s="45"/>
      <c r="AF1044" s="45"/>
      <c r="AG1044" s="45"/>
      <c r="AH1044" s="45"/>
      <c r="AI1044" s="45"/>
      <c r="AJ1044" s="45"/>
      <c r="AK1044" s="45"/>
      <c r="AL1044" s="45"/>
      <c r="AM1044" s="43"/>
      <c r="AN1044" s="43"/>
      <c r="AO1044" s="43"/>
      <c r="AP1044" s="43"/>
    </row>
    <row r="1045" spans="2:42" x14ac:dyDescent="0.3">
      <c r="B1045" s="39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AA1045" s="39"/>
      <c r="AB1045" s="40"/>
      <c r="AC1045" s="40"/>
      <c r="AD1045" s="40"/>
      <c r="AE1045" s="40"/>
      <c r="AF1045" s="40"/>
      <c r="AG1045" s="40"/>
      <c r="AH1045" s="40"/>
      <c r="AI1045" s="40"/>
      <c r="AJ1045" s="40"/>
      <c r="AK1045" s="40"/>
    </row>
    <row r="1046" spans="2:42" x14ac:dyDescent="0.3">
      <c r="B1046" s="44"/>
      <c r="C1046" s="45"/>
      <c r="D1046" s="45"/>
      <c r="E1046" s="45"/>
      <c r="F1046" s="45"/>
      <c r="G1046" s="45"/>
      <c r="H1046" s="45"/>
      <c r="I1046" s="45"/>
      <c r="J1046" s="45"/>
      <c r="K1046" s="45"/>
      <c r="L1046" s="45"/>
      <c r="M1046" s="45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AA1046" s="44"/>
      <c r="AB1046" s="45"/>
      <c r="AC1046" s="45"/>
      <c r="AD1046" s="45"/>
      <c r="AE1046" s="45"/>
      <c r="AF1046" s="45"/>
      <c r="AG1046" s="45"/>
      <c r="AH1046" s="45"/>
      <c r="AI1046" s="45"/>
      <c r="AJ1046" s="45"/>
      <c r="AK1046" s="45"/>
      <c r="AL1046" s="45"/>
      <c r="AM1046" s="43"/>
      <c r="AN1046" s="43"/>
      <c r="AO1046" s="43"/>
      <c r="AP1046" s="43"/>
    </row>
    <row r="1047" spans="2:42" x14ac:dyDescent="0.3">
      <c r="B1047" s="39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AA1047" s="39"/>
      <c r="AB1047" s="40"/>
      <c r="AC1047" s="40"/>
      <c r="AD1047" s="40"/>
      <c r="AE1047" s="40"/>
      <c r="AF1047" s="40"/>
      <c r="AG1047" s="40"/>
      <c r="AH1047" s="40"/>
      <c r="AI1047" s="40"/>
      <c r="AJ1047" s="40"/>
      <c r="AK1047" s="40"/>
    </row>
    <row r="1048" spans="2:42" x14ac:dyDescent="0.3">
      <c r="B1048" s="44"/>
      <c r="C1048" s="45"/>
      <c r="D1048" s="45"/>
      <c r="E1048" s="45"/>
      <c r="F1048" s="45"/>
      <c r="G1048" s="45"/>
      <c r="H1048" s="45"/>
      <c r="I1048" s="45"/>
      <c r="J1048" s="45"/>
      <c r="K1048" s="45"/>
      <c r="L1048" s="45"/>
      <c r="M1048" s="45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AA1048" s="44"/>
      <c r="AB1048" s="45"/>
      <c r="AC1048" s="45"/>
      <c r="AD1048" s="45"/>
      <c r="AE1048" s="45"/>
      <c r="AF1048" s="45"/>
      <c r="AG1048" s="45"/>
      <c r="AH1048" s="45"/>
      <c r="AI1048" s="45"/>
      <c r="AJ1048" s="45"/>
      <c r="AK1048" s="45"/>
      <c r="AL1048" s="45"/>
      <c r="AM1048" s="43"/>
      <c r="AN1048" s="43"/>
      <c r="AO1048" s="43"/>
      <c r="AP1048" s="43"/>
    </row>
    <row r="1049" spans="2:42" x14ac:dyDescent="0.3">
      <c r="B1049" s="39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AA1049" s="39"/>
      <c r="AB1049" s="40"/>
      <c r="AC1049" s="40"/>
      <c r="AD1049" s="40"/>
      <c r="AE1049" s="40"/>
      <c r="AF1049" s="40"/>
      <c r="AG1049" s="40"/>
      <c r="AH1049" s="40"/>
      <c r="AI1049" s="40"/>
      <c r="AJ1049" s="40"/>
      <c r="AK1049" s="40"/>
    </row>
    <row r="1050" spans="2:42" x14ac:dyDescent="0.3">
      <c r="B1050" s="44"/>
      <c r="C1050" s="45"/>
      <c r="D1050" s="45"/>
      <c r="E1050" s="45"/>
      <c r="F1050" s="45"/>
      <c r="G1050" s="45"/>
      <c r="H1050" s="45"/>
      <c r="I1050" s="45"/>
      <c r="J1050" s="45"/>
      <c r="K1050" s="45"/>
      <c r="L1050" s="45"/>
      <c r="M1050" s="45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AA1050" s="44"/>
      <c r="AB1050" s="45"/>
      <c r="AC1050" s="45"/>
      <c r="AD1050" s="45"/>
      <c r="AE1050" s="45"/>
      <c r="AF1050" s="45"/>
      <c r="AG1050" s="45"/>
      <c r="AH1050" s="45"/>
      <c r="AI1050" s="45"/>
      <c r="AJ1050" s="45"/>
      <c r="AK1050" s="45"/>
      <c r="AL1050" s="45"/>
      <c r="AM1050" s="43"/>
      <c r="AN1050" s="43"/>
      <c r="AO1050" s="43"/>
      <c r="AP1050" s="43"/>
    </row>
    <row r="1051" spans="2:42" x14ac:dyDescent="0.3">
      <c r="B1051" s="39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AA1051" s="39"/>
      <c r="AB1051" s="40"/>
      <c r="AC1051" s="40"/>
      <c r="AD1051" s="40"/>
      <c r="AE1051" s="40"/>
      <c r="AF1051" s="40"/>
      <c r="AG1051" s="40"/>
      <c r="AH1051" s="40"/>
      <c r="AI1051" s="40"/>
      <c r="AJ1051" s="40"/>
      <c r="AK1051" s="40"/>
    </row>
    <row r="1052" spans="2:42" x14ac:dyDescent="0.3">
      <c r="B1052" s="44"/>
      <c r="C1052" s="45"/>
      <c r="D1052" s="45"/>
      <c r="E1052" s="45"/>
      <c r="F1052" s="45"/>
      <c r="G1052" s="45"/>
      <c r="H1052" s="45"/>
      <c r="I1052" s="45"/>
      <c r="J1052" s="45"/>
      <c r="K1052" s="45"/>
      <c r="L1052" s="45"/>
      <c r="M1052" s="45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AA1052" s="44"/>
      <c r="AB1052" s="45"/>
      <c r="AC1052" s="45"/>
      <c r="AD1052" s="45"/>
      <c r="AE1052" s="45"/>
      <c r="AF1052" s="45"/>
      <c r="AG1052" s="45"/>
      <c r="AH1052" s="45"/>
      <c r="AI1052" s="45"/>
      <c r="AJ1052" s="45"/>
      <c r="AK1052" s="45"/>
      <c r="AL1052" s="45"/>
      <c r="AM1052" s="43"/>
      <c r="AN1052" s="43"/>
      <c r="AO1052" s="43"/>
      <c r="AP1052" s="43"/>
    </row>
    <row r="1053" spans="2:42" x14ac:dyDescent="0.3">
      <c r="B1053" s="39"/>
      <c r="C1053" s="40"/>
      <c r="D1053" s="40"/>
      <c r="E1053" s="40"/>
      <c r="F1053" s="40"/>
      <c r="G1053" s="40"/>
      <c r="H1053" s="40"/>
      <c r="I1053" s="40"/>
      <c r="J1053" s="40"/>
      <c r="K1053" s="40"/>
      <c r="L1053" s="40"/>
      <c r="AA1053" s="39"/>
      <c r="AB1053" s="40"/>
      <c r="AC1053" s="40"/>
      <c r="AD1053" s="40"/>
      <c r="AE1053" s="40"/>
      <c r="AF1053" s="40"/>
      <c r="AG1053" s="40"/>
      <c r="AH1053" s="40"/>
      <c r="AI1053" s="40"/>
      <c r="AJ1053" s="40"/>
      <c r="AK1053" s="40"/>
    </row>
    <row r="1054" spans="2:42" x14ac:dyDescent="0.3">
      <c r="B1054" s="44"/>
      <c r="C1054" s="45"/>
      <c r="D1054" s="45"/>
      <c r="E1054" s="45"/>
      <c r="F1054" s="45"/>
      <c r="G1054" s="45"/>
      <c r="H1054" s="45"/>
      <c r="I1054" s="45"/>
      <c r="J1054" s="45"/>
      <c r="K1054" s="45"/>
      <c r="L1054" s="45"/>
      <c r="M1054" s="45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AA1054" s="44"/>
      <c r="AB1054" s="45"/>
      <c r="AC1054" s="45"/>
      <c r="AD1054" s="45"/>
      <c r="AE1054" s="45"/>
      <c r="AF1054" s="45"/>
      <c r="AG1054" s="45"/>
      <c r="AH1054" s="45"/>
      <c r="AI1054" s="45"/>
      <c r="AJ1054" s="45"/>
      <c r="AK1054" s="45"/>
      <c r="AL1054" s="45"/>
      <c r="AM1054" s="43"/>
      <c r="AN1054" s="43"/>
      <c r="AO1054" s="43"/>
      <c r="AP1054" s="43"/>
    </row>
    <row r="1055" spans="2:42" x14ac:dyDescent="0.3">
      <c r="B1055" s="39"/>
      <c r="C1055" s="40"/>
      <c r="D1055" s="40"/>
      <c r="E1055" s="40"/>
      <c r="F1055" s="40"/>
      <c r="G1055" s="40"/>
      <c r="H1055" s="40"/>
      <c r="I1055" s="40"/>
      <c r="J1055" s="40"/>
      <c r="K1055" s="40"/>
      <c r="L1055" s="40"/>
      <c r="AA1055" s="39"/>
      <c r="AB1055" s="40"/>
      <c r="AC1055" s="40"/>
      <c r="AD1055" s="40"/>
      <c r="AE1055" s="40"/>
      <c r="AF1055" s="40"/>
      <c r="AG1055" s="40"/>
      <c r="AH1055" s="40"/>
      <c r="AI1055" s="40"/>
      <c r="AJ1055" s="40"/>
      <c r="AK1055" s="4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C46E-AE78-4FC0-8377-4ADCB42188A4}">
  <sheetPr codeName="Sheet4"/>
  <dimension ref="B3:F8"/>
  <sheetViews>
    <sheetView workbookViewId="0">
      <selection activeCell="F7" sqref="F7"/>
    </sheetView>
  </sheetViews>
  <sheetFormatPr defaultRowHeight="14.4" x14ac:dyDescent="0.3"/>
  <cols>
    <col min="2" max="2" width="15.6640625" customWidth="1"/>
  </cols>
  <sheetData>
    <row r="3" spans="2:6" x14ac:dyDescent="0.3">
      <c r="B3" s="31" t="s">
        <v>36</v>
      </c>
    </row>
    <row r="4" spans="2:6" x14ac:dyDescent="0.3">
      <c r="B4" t="s">
        <v>38</v>
      </c>
    </row>
    <row r="5" spans="2:6" x14ac:dyDescent="0.3">
      <c r="B5" t="s">
        <v>39</v>
      </c>
      <c r="F5" t="s">
        <v>42</v>
      </c>
    </row>
    <row r="6" spans="2:6" x14ac:dyDescent="0.3">
      <c r="B6" t="s">
        <v>40</v>
      </c>
      <c r="F6" t="s">
        <v>63</v>
      </c>
    </row>
    <row r="7" spans="2:6" x14ac:dyDescent="0.3">
      <c r="B7" t="s">
        <v>41</v>
      </c>
    </row>
    <row r="8" spans="2:6" x14ac:dyDescent="0.3"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Invoice</vt:lpstr>
      <vt:lpstr>CustomerDetails</vt:lpstr>
      <vt:lpstr>InvoiceItems</vt:lpstr>
      <vt:lpstr>ListSheet</vt:lpstr>
      <vt:lpstr>InvoiceItems!Criteria</vt:lpstr>
      <vt:lpstr>InvoiceItems!Extract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2022-07-01T04:08:11Z</cp:lastPrinted>
  <dcterms:created xsi:type="dcterms:W3CDTF">2022-05-25T12:31:16Z</dcterms:created>
  <dcterms:modified xsi:type="dcterms:W3CDTF">2022-07-01T04:32:29Z</dcterms:modified>
</cp:coreProperties>
</file>